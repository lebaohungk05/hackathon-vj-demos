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mc:AlternateContent xmlns:mc="http://schemas.openxmlformats.org/markup-compatibility/2006">
    <mc:Choice Requires="x15">
      <x15ac:absPath xmlns:x15ac="http://schemas.microsoft.com/office/spreadsheetml/2010/11/ac" url="https://dataimpact-my.sharepoint.com/personal/tran_binh_minh_dataimpact_vn/Documents/Engineer Dept/EVM/"/>
    </mc:Choice>
  </mc:AlternateContent>
  <xr:revisionPtr revIDLastSave="278" documentId="11_0DAFE669C886535B24957E70D13A655211D93733" xr6:coauthVersionLast="47" xr6:coauthVersionMax="47" xr10:uidLastSave="{1871B15C-446C-4D55-9E44-21B0A830E3C0}"/>
  <bookViews>
    <workbookView xWindow="-110" yWindow="-110" windowWidth="19420" windowHeight="11500" tabRatio="879" firstSheet="1" activeTab="3" xr2:uid="{00000000-000D-0000-FFFF-FFFF00000000}"/>
  </bookViews>
  <sheets>
    <sheet name="Hướng dẫn" sheetId="2" r:id="rId1"/>
    <sheet name="PV (Kế hoạch)" sheetId="3" r:id="rId2"/>
    <sheet name="EV (Tiến độ lũy kế)" sheetId="8" r:id="rId3"/>
    <sheet name="SPI" sheetId="7" r:id="rId4"/>
    <sheet name="EV (Hoàn thành thực tế)" sheetId="4" r:id="rId5"/>
    <sheet name="AC (Chi phí thực tế)" sheetId="5" state="hidden" r:id="rId6"/>
    <sheet name="CPI (Chỉ số chi phí)" sheetId="6" state="hidden"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 i="8" l="1"/>
  <c r="C29" i="8"/>
  <c r="C30" i="8"/>
  <c r="C31" i="8"/>
  <c r="B4" i="3"/>
  <c r="B5" i="3"/>
  <c r="B6" i="3"/>
  <c r="B7" i="3"/>
  <c r="B8" i="3"/>
  <c r="B9" i="3"/>
  <c r="B10" i="3"/>
  <c r="B11" i="3"/>
  <c r="B12" i="3"/>
  <c r="B13" i="3"/>
  <c r="B14" i="3"/>
  <c r="B15" i="3"/>
  <c r="B16" i="3"/>
  <c r="B17" i="3"/>
  <c r="B18" i="3"/>
  <c r="B19" i="3"/>
  <c r="B20" i="3"/>
  <c r="B21" i="3"/>
  <c r="B22" i="3"/>
  <c r="B23" i="3"/>
  <c r="B24" i="3"/>
  <c r="B25" i="3"/>
  <c r="B26" i="3"/>
  <c r="B27" i="3"/>
  <c r="B28" i="3"/>
  <c r="B28" i="8" s="1"/>
  <c r="B29" i="3"/>
  <c r="B29" i="8" s="1"/>
  <c r="B30" i="3"/>
  <c r="B30" i="8" s="1"/>
  <c r="B31" i="3"/>
  <c r="B31" i="8" s="1"/>
  <c r="B3" i="3"/>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32" i="7"/>
  <c r="C31" i="7"/>
  <c r="C30" i="7"/>
  <c r="C29" i="7"/>
  <c r="C28" i="7"/>
  <c r="C27" i="7"/>
  <c r="C26" i="7"/>
  <c r="C25" i="7"/>
  <c r="C24" i="7"/>
  <c r="C23" i="7"/>
  <c r="C22" i="7"/>
  <c r="C21" i="7"/>
  <c r="C20" i="7"/>
  <c r="C19" i="7"/>
  <c r="C18" i="7"/>
  <c r="C17" i="7"/>
  <c r="C16" i="7"/>
  <c r="C15" i="7"/>
  <c r="C14" i="7"/>
  <c r="C13" i="7"/>
  <c r="C12" i="7"/>
  <c r="C11" i="7"/>
  <c r="C10" i="7"/>
  <c r="C9" i="7"/>
  <c r="C8" i="7"/>
  <c r="C7" i="7"/>
  <c r="C6" i="7"/>
  <c r="C5" i="7"/>
  <c r="C4" i="7"/>
  <c r="C3" i="7"/>
  <c r="C32" i="8"/>
  <c r="C4" i="8"/>
  <c r="C5" i="8"/>
  <c r="C6" i="8"/>
  <c r="C7" i="8"/>
  <c r="C8" i="8"/>
  <c r="C9" i="8"/>
  <c r="C10" i="8"/>
  <c r="C11" i="8"/>
  <c r="C12" i="8"/>
  <c r="C13" i="8"/>
  <c r="C14" i="8"/>
  <c r="C15" i="8"/>
  <c r="C16" i="8"/>
  <c r="C17" i="8"/>
  <c r="C18" i="8"/>
  <c r="C19" i="8"/>
  <c r="C20" i="8"/>
  <c r="C21" i="8"/>
  <c r="C22" i="8"/>
  <c r="C23" i="8"/>
  <c r="C24" i="8"/>
  <c r="C25" i="8"/>
  <c r="C26" i="8"/>
  <c r="C27" i="8"/>
  <c r="C3" i="8"/>
  <c r="V4" i="8"/>
  <c r="W4" i="8"/>
  <c r="X4" i="8"/>
  <c r="Y4" i="8"/>
  <c r="Z4" i="8" s="1"/>
  <c r="AA4" i="8" s="1"/>
  <c r="V5" i="8"/>
  <c r="W5" i="8"/>
  <c r="X5" i="8"/>
  <c r="Y5" i="8" s="1"/>
  <c r="Z5" i="8" s="1"/>
  <c r="AA5" i="8" s="1"/>
  <c r="V6" i="8"/>
  <c r="W6" i="8"/>
  <c r="X6" i="8" s="1"/>
  <c r="Y6" i="8" s="1"/>
  <c r="Z6" i="8" s="1"/>
  <c r="AA6" i="8" s="1"/>
  <c r="V7" i="8"/>
  <c r="W7" i="8"/>
  <c r="X7" i="8"/>
  <c r="Y7" i="8"/>
  <c r="Z7" i="8"/>
  <c r="AA7" i="8"/>
  <c r="V8" i="8"/>
  <c r="W8" i="8"/>
  <c r="X8" i="8"/>
  <c r="Y8" i="8"/>
  <c r="Z8" i="8" s="1"/>
  <c r="AA8" i="8" s="1"/>
  <c r="V9" i="8"/>
  <c r="W9" i="8"/>
  <c r="X9" i="8" s="1"/>
  <c r="Y9" i="8" s="1"/>
  <c r="Z9" i="8" s="1"/>
  <c r="AA9" i="8" s="1"/>
  <c r="V10" i="8"/>
  <c r="W10" i="8"/>
  <c r="X10" i="8"/>
  <c r="Y10" i="8"/>
  <c r="Z10" i="8"/>
  <c r="AA10" i="8"/>
  <c r="V11" i="8"/>
  <c r="W11" i="8"/>
  <c r="X11" i="8"/>
  <c r="Y11" i="8"/>
  <c r="Z11" i="8" s="1"/>
  <c r="AA11" i="8" s="1"/>
  <c r="V12" i="8"/>
  <c r="W12" i="8"/>
  <c r="X12" i="8"/>
  <c r="Y12" i="8"/>
  <c r="Z12" i="8"/>
  <c r="AA12" i="8"/>
  <c r="V13" i="8"/>
  <c r="W13" i="8"/>
  <c r="X13" i="8" s="1"/>
  <c r="Y13" i="8" s="1"/>
  <c r="Z13" i="8" s="1"/>
  <c r="AA13" i="8" s="1"/>
  <c r="V14" i="8"/>
  <c r="W14" i="8"/>
  <c r="X14" i="8"/>
  <c r="Y14" i="8"/>
  <c r="Z14" i="8"/>
  <c r="AA14" i="8"/>
  <c r="V15" i="8"/>
  <c r="W15" i="8"/>
  <c r="X15" i="8"/>
  <c r="Y15" i="8"/>
  <c r="Z15" i="8" s="1"/>
  <c r="AA15" i="8" s="1"/>
  <c r="V16" i="8"/>
  <c r="W16" i="8"/>
  <c r="X16" i="8" s="1"/>
  <c r="Y16" i="8" s="1"/>
  <c r="Z16" i="8" s="1"/>
  <c r="AA16" i="8" s="1"/>
  <c r="V17" i="8"/>
  <c r="W17" i="8"/>
  <c r="X17" i="8"/>
  <c r="Y17" i="8"/>
  <c r="Z17" i="8"/>
  <c r="AA17" i="8"/>
  <c r="V18" i="8"/>
  <c r="W18" i="8"/>
  <c r="X18" i="8"/>
  <c r="Y18" i="8"/>
  <c r="Z18" i="8" s="1"/>
  <c r="AA18" i="8" s="1"/>
  <c r="V19" i="8"/>
  <c r="W19" i="8"/>
  <c r="X19" i="8"/>
  <c r="Y19" i="8"/>
  <c r="Z19" i="8"/>
  <c r="AA19" i="8"/>
  <c r="V20" i="8"/>
  <c r="W20" i="8"/>
  <c r="X20" i="8" s="1"/>
  <c r="Y20" i="8" s="1"/>
  <c r="Z20" i="8" s="1"/>
  <c r="AA20" i="8" s="1"/>
  <c r="V21" i="8"/>
  <c r="W21" i="8"/>
  <c r="X21" i="8"/>
  <c r="Y21" i="8"/>
  <c r="Z21" i="8"/>
  <c r="AA21" i="8"/>
  <c r="V22" i="8"/>
  <c r="W22" i="8"/>
  <c r="X22" i="8"/>
  <c r="Y22" i="8"/>
  <c r="Z22" i="8" s="1"/>
  <c r="AA22" i="8" s="1"/>
  <c r="V23" i="8"/>
  <c r="W23" i="8"/>
  <c r="X23" i="8" s="1"/>
  <c r="Y23" i="8" s="1"/>
  <c r="Z23" i="8" s="1"/>
  <c r="AA23" i="8" s="1"/>
  <c r="V24" i="8"/>
  <c r="W24" i="8"/>
  <c r="X24" i="8"/>
  <c r="Y24" i="8"/>
  <c r="Z24" i="8"/>
  <c r="AA24" i="8"/>
  <c r="V25" i="8"/>
  <c r="W25" i="8"/>
  <c r="X25" i="8"/>
  <c r="Y25" i="8"/>
  <c r="Z25" i="8" s="1"/>
  <c r="AA25" i="8" s="1"/>
  <c r="V26" i="8"/>
  <c r="W26" i="8"/>
  <c r="X26" i="8"/>
  <c r="Y26" i="8"/>
  <c r="Z26" i="8"/>
  <c r="AA26" i="8"/>
  <c r="V27" i="8"/>
  <c r="W27" i="8"/>
  <c r="X27" i="8" s="1"/>
  <c r="Y27" i="8" s="1"/>
  <c r="Z27" i="8" s="1"/>
  <c r="AA27" i="8" s="1"/>
  <c r="V3" i="8"/>
  <c r="W3" i="8" s="1"/>
  <c r="X3" i="8" s="1"/>
  <c r="Y3" i="8" s="1"/>
  <c r="Z3" i="8" s="1"/>
  <c r="AA3" i="8" s="1"/>
  <c r="D4" i="4"/>
  <c r="E4" i="4" s="1"/>
  <c r="D5" i="4"/>
  <c r="E5" i="4"/>
  <c r="F5" i="4"/>
  <c r="D6" i="4"/>
  <c r="E6" i="4"/>
  <c r="F6" i="4"/>
  <c r="G6" i="4"/>
  <c r="D7" i="4"/>
  <c r="E7" i="4"/>
  <c r="F7" i="4"/>
  <c r="D8" i="4"/>
  <c r="E8" i="4"/>
  <c r="D9" i="4"/>
  <c r="E9" i="4"/>
  <c r="D10" i="4"/>
  <c r="E10" i="4"/>
  <c r="F10" i="4"/>
  <c r="G10" i="4"/>
  <c r="H10" i="4"/>
  <c r="I10" i="4"/>
  <c r="J10" i="4"/>
  <c r="K10" i="4"/>
  <c r="L10" i="4"/>
  <c r="D11" i="4"/>
  <c r="E11" i="4" s="1"/>
  <c r="D12" i="4"/>
  <c r="D13" i="4"/>
  <c r="D14" i="4"/>
  <c r="E14" i="4"/>
  <c r="F14" i="4"/>
  <c r="D15" i="4"/>
  <c r="E15" i="4"/>
  <c r="D16" i="4"/>
  <c r="E16" i="4"/>
  <c r="F16" i="4"/>
  <c r="D17" i="4"/>
  <c r="E17" i="4"/>
  <c r="D18" i="4"/>
  <c r="E18" i="4" s="1"/>
  <c r="F18" i="4"/>
  <c r="G18" i="4"/>
  <c r="H18" i="4"/>
  <c r="D19" i="4"/>
  <c r="E19" i="4"/>
  <c r="D20" i="4"/>
  <c r="E20" i="4"/>
  <c r="F20" i="4"/>
  <c r="G20" i="4"/>
  <c r="H20" i="4"/>
  <c r="D21" i="4"/>
  <c r="D22" i="4"/>
  <c r="E22" i="4" s="1"/>
  <c r="D23" i="4"/>
  <c r="E23" i="4"/>
  <c r="F23" i="4" s="1"/>
  <c r="D24" i="4"/>
  <c r="E24" i="4"/>
  <c r="D25" i="4"/>
  <c r="E25" i="4" s="1"/>
  <c r="D26" i="4"/>
  <c r="D27" i="4"/>
  <c r="D3" i="4"/>
  <c r="E3" i="4"/>
  <c r="D4" i="7"/>
  <c r="E4" i="7"/>
  <c r="D5" i="7"/>
  <c r="E5" i="7"/>
  <c r="F5" i="7"/>
  <c r="D6" i="7"/>
  <c r="E6" i="7"/>
  <c r="F6" i="7"/>
  <c r="D7" i="7"/>
  <c r="E7" i="7"/>
  <c r="F7" i="7"/>
  <c r="G7" i="7"/>
  <c r="H7" i="7"/>
  <c r="D8" i="7"/>
  <c r="E8" i="7"/>
  <c r="F8" i="7"/>
  <c r="G8" i="7"/>
  <c r="H8" i="7"/>
  <c r="I8" i="7"/>
  <c r="J8" i="7"/>
  <c r="D9" i="7"/>
  <c r="E9" i="7"/>
  <c r="F9" i="7"/>
  <c r="G9" i="7"/>
  <c r="H9" i="7"/>
  <c r="I9" i="7"/>
  <c r="J9" i="7"/>
  <c r="K9" i="7"/>
  <c r="L9" i="7"/>
  <c r="D10" i="7"/>
  <c r="E10" i="7"/>
  <c r="F10" i="7"/>
  <c r="G10" i="7"/>
  <c r="H10" i="7"/>
  <c r="I10" i="7"/>
  <c r="J10" i="7"/>
  <c r="K10" i="7"/>
  <c r="L10" i="7"/>
  <c r="M10" i="7"/>
  <c r="N10" i="7"/>
  <c r="D11" i="7"/>
  <c r="E11" i="7"/>
  <c r="F11" i="7"/>
  <c r="G11" i="7"/>
  <c r="H11" i="7"/>
  <c r="I11" i="7"/>
  <c r="D12" i="7"/>
  <c r="E12" i="7"/>
  <c r="F12" i="7"/>
  <c r="G12" i="7"/>
  <c r="H12" i="7"/>
  <c r="I12" i="7"/>
  <c r="J12" i="7"/>
  <c r="K12" i="7"/>
  <c r="D13" i="7"/>
  <c r="E13" i="7"/>
  <c r="F13" i="7"/>
  <c r="G13" i="7"/>
  <c r="H13" i="7"/>
  <c r="I13" i="7"/>
  <c r="J13" i="7"/>
  <c r="K13" i="7"/>
  <c r="L13" i="7"/>
  <c r="M13" i="7"/>
  <c r="D14" i="7"/>
  <c r="E14" i="7"/>
  <c r="F14" i="7"/>
  <c r="G14" i="7"/>
  <c r="H14" i="7"/>
  <c r="I14" i="7"/>
  <c r="J14" i="7"/>
  <c r="K14" i="7"/>
  <c r="L14" i="7"/>
  <c r="M14" i="7"/>
  <c r="N14" i="7"/>
  <c r="O14" i="7"/>
  <c r="D15" i="7"/>
  <c r="E15" i="7"/>
  <c r="F15" i="7"/>
  <c r="G15" i="7"/>
  <c r="H15" i="7"/>
  <c r="I15" i="7"/>
  <c r="J15" i="7"/>
  <c r="K15" i="7"/>
  <c r="L15" i="7"/>
  <c r="M15" i="7"/>
  <c r="N15" i="7"/>
  <c r="O15" i="7"/>
  <c r="P15" i="7"/>
  <c r="Q15" i="7"/>
  <c r="D16" i="7"/>
  <c r="E16" i="7"/>
  <c r="F16" i="7"/>
  <c r="G16" i="7"/>
  <c r="H16" i="7"/>
  <c r="I16" i="7"/>
  <c r="J16" i="7"/>
  <c r="K16" i="7"/>
  <c r="L16" i="7"/>
  <c r="M16" i="7"/>
  <c r="N16" i="7"/>
  <c r="O16" i="7"/>
  <c r="P16" i="7"/>
  <c r="D17" i="7"/>
  <c r="E17" i="7"/>
  <c r="F17" i="7"/>
  <c r="G17" i="7"/>
  <c r="H17" i="7"/>
  <c r="I17" i="7"/>
  <c r="J17" i="7"/>
  <c r="K17" i="7"/>
  <c r="L17" i="7"/>
  <c r="D18" i="7"/>
  <c r="E18" i="7"/>
  <c r="F18" i="7"/>
  <c r="G18" i="7"/>
  <c r="H18" i="7"/>
  <c r="I18" i="7"/>
  <c r="J18" i="7"/>
  <c r="K18" i="7"/>
  <c r="L18" i="7"/>
  <c r="M18" i="7"/>
  <c r="N18" i="7"/>
  <c r="O18" i="7"/>
  <c r="P18" i="7"/>
  <c r="Q18" i="7"/>
  <c r="R18" i="7"/>
  <c r="D19" i="7"/>
  <c r="E19" i="7"/>
  <c r="F19" i="7"/>
  <c r="G19" i="7"/>
  <c r="H19" i="7"/>
  <c r="I19" i="7"/>
  <c r="J19" i="7"/>
  <c r="K19" i="7"/>
  <c r="L19" i="7"/>
  <c r="M19" i="7"/>
  <c r="N19" i="7"/>
  <c r="O19" i="7"/>
  <c r="P19" i="7"/>
  <c r="Q19" i="7"/>
  <c r="R19" i="7"/>
  <c r="S19" i="7"/>
  <c r="T19" i="7"/>
  <c r="D20" i="7"/>
  <c r="E20" i="7"/>
  <c r="F20" i="7"/>
  <c r="G20" i="7"/>
  <c r="H20" i="7"/>
  <c r="I20" i="7"/>
  <c r="J20" i="7"/>
  <c r="K20" i="7"/>
  <c r="L20" i="7"/>
  <c r="M20" i="7"/>
  <c r="N20" i="7"/>
  <c r="O20" i="7"/>
  <c r="P20" i="7"/>
  <c r="Q20" i="7"/>
  <c r="R20" i="7"/>
  <c r="S20" i="7"/>
  <c r="T20" i="7"/>
  <c r="U20" i="7"/>
  <c r="V20" i="7"/>
  <c r="D21" i="7"/>
  <c r="E21" i="7"/>
  <c r="F21" i="7"/>
  <c r="G21" i="7"/>
  <c r="H21" i="7"/>
  <c r="I21" i="7"/>
  <c r="J21" i="7"/>
  <c r="K21" i="7"/>
  <c r="L21" i="7"/>
  <c r="M21" i="7"/>
  <c r="N21" i="7"/>
  <c r="O21" i="7"/>
  <c r="P21" i="7"/>
  <c r="Q21" i="7"/>
  <c r="R21" i="7"/>
  <c r="S21" i="7"/>
  <c r="T21" i="7"/>
  <c r="U21" i="7"/>
  <c r="D22" i="7"/>
  <c r="E22" i="7"/>
  <c r="F22" i="7"/>
  <c r="G22" i="7"/>
  <c r="H22" i="7"/>
  <c r="I22" i="7"/>
  <c r="J22" i="7"/>
  <c r="K22" i="7"/>
  <c r="L22" i="7"/>
  <c r="M22" i="7"/>
  <c r="N22" i="7"/>
  <c r="O22" i="7"/>
  <c r="P22" i="7"/>
  <c r="Q22" i="7"/>
  <c r="R22" i="7"/>
  <c r="S22" i="7"/>
  <c r="T22" i="7"/>
  <c r="U22" i="7"/>
  <c r="V22" i="7"/>
  <c r="W22" i="7"/>
  <c r="D23" i="7"/>
  <c r="E23" i="7"/>
  <c r="F23" i="7"/>
  <c r="G23" i="7"/>
  <c r="H23" i="7"/>
  <c r="I23" i="7"/>
  <c r="J23" i="7"/>
  <c r="K23" i="7"/>
  <c r="L23" i="7"/>
  <c r="M23" i="7"/>
  <c r="N23" i="7"/>
  <c r="O23" i="7"/>
  <c r="P23" i="7"/>
  <c r="Q23" i="7"/>
  <c r="R23" i="7"/>
  <c r="S23" i="7"/>
  <c r="T23" i="7"/>
  <c r="U23" i="7"/>
  <c r="V23" i="7"/>
  <c r="W23" i="7"/>
  <c r="X23" i="7"/>
  <c r="D24" i="7"/>
  <c r="E24" i="7"/>
  <c r="F24" i="7"/>
  <c r="G24" i="7"/>
  <c r="H24" i="7"/>
  <c r="I24" i="7"/>
  <c r="J24" i="7"/>
  <c r="K24" i="7"/>
  <c r="L24" i="7"/>
  <c r="M24" i="7"/>
  <c r="N24" i="7"/>
  <c r="O24" i="7"/>
  <c r="P24" i="7"/>
  <c r="Q24" i="7"/>
  <c r="R24" i="7"/>
  <c r="S24" i="7"/>
  <c r="T24" i="7"/>
  <c r="D25" i="7"/>
  <c r="E25" i="7"/>
  <c r="F25" i="7"/>
  <c r="G25" i="7"/>
  <c r="H25" i="7"/>
  <c r="I25" i="7"/>
  <c r="J25" i="7"/>
  <c r="K25" i="7"/>
  <c r="L25" i="7"/>
  <c r="M25" i="7"/>
  <c r="N25" i="7"/>
  <c r="O25" i="7"/>
  <c r="P25" i="7"/>
  <c r="Q25" i="7"/>
  <c r="R25" i="7"/>
  <c r="S25" i="7"/>
  <c r="T25" i="7"/>
  <c r="U25" i="7"/>
  <c r="V25" i="7"/>
  <c r="W25" i="7"/>
  <c r="X25" i="7"/>
  <c r="Y25" i="7"/>
  <c r="D26" i="7"/>
  <c r="E26" i="7"/>
  <c r="F26" i="7"/>
  <c r="G26" i="7"/>
  <c r="H26" i="7"/>
  <c r="I26" i="7"/>
  <c r="J26" i="7"/>
  <c r="K26" i="7"/>
  <c r="L26" i="7"/>
  <c r="M26" i="7"/>
  <c r="N26" i="7"/>
  <c r="O26" i="7"/>
  <c r="P26" i="7"/>
  <c r="Q26" i="7"/>
  <c r="R26" i="7"/>
  <c r="S26" i="7"/>
  <c r="T26" i="7"/>
  <c r="U26" i="7"/>
  <c r="V26" i="7"/>
  <c r="W26" i="7"/>
  <c r="X26" i="7"/>
  <c r="Y26" i="7"/>
  <c r="D27" i="7"/>
  <c r="E27" i="7"/>
  <c r="F27" i="7"/>
  <c r="G27" i="7"/>
  <c r="H27" i="7"/>
  <c r="I27" i="7"/>
  <c r="J27" i="7"/>
  <c r="K27" i="7"/>
  <c r="L27" i="7"/>
  <c r="M27" i="7"/>
  <c r="N27" i="7"/>
  <c r="O27" i="7"/>
  <c r="P27" i="7"/>
  <c r="Q27" i="7"/>
  <c r="R27" i="7"/>
  <c r="S27" i="7"/>
  <c r="T27" i="7"/>
  <c r="U27" i="7"/>
  <c r="V27" i="7"/>
  <c r="W27" i="7"/>
  <c r="X27" i="7"/>
  <c r="Y27" i="7"/>
  <c r="Z27" i="7"/>
  <c r="D28" i="7"/>
  <c r="E28" i="7"/>
  <c r="F28" i="7"/>
  <c r="G28" i="7"/>
  <c r="H28" i="7"/>
  <c r="I28" i="7"/>
  <c r="J28" i="7"/>
  <c r="K28" i="7"/>
  <c r="L28" i="7"/>
  <c r="M28" i="7"/>
  <c r="N28" i="7"/>
  <c r="O28" i="7"/>
  <c r="P28" i="7"/>
  <c r="Q28" i="7"/>
  <c r="R28" i="7"/>
  <c r="S28" i="7"/>
  <c r="T28" i="7"/>
  <c r="U28" i="7"/>
  <c r="V28" i="7"/>
  <c r="W28" i="7"/>
  <c r="X28" i="7"/>
  <c r="Y28" i="7"/>
  <c r="Z28" i="7"/>
  <c r="AA28" i="7"/>
  <c r="D29" i="7"/>
  <c r="E29" i="7"/>
  <c r="F29" i="7"/>
  <c r="G29" i="7"/>
  <c r="H29" i="7"/>
  <c r="I29" i="7"/>
  <c r="J29" i="7"/>
  <c r="K29" i="7"/>
  <c r="L29" i="7"/>
  <c r="M29" i="7"/>
  <c r="N29" i="7"/>
  <c r="O29" i="7"/>
  <c r="P29" i="7"/>
  <c r="Q29" i="7"/>
  <c r="R29" i="7"/>
  <c r="S29" i="7"/>
  <c r="T29" i="7"/>
  <c r="U29" i="7"/>
  <c r="V29" i="7"/>
  <c r="W29" i="7"/>
  <c r="X29" i="7"/>
  <c r="Y29" i="7"/>
  <c r="Z29" i="7"/>
  <c r="AA29" i="7"/>
  <c r="D30" i="7"/>
  <c r="E30" i="7"/>
  <c r="F30" i="7"/>
  <c r="G30" i="7"/>
  <c r="H30" i="7"/>
  <c r="I30" i="7"/>
  <c r="J30" i="7"/>
  <c r="K30" i="7"/>
  <c r="L30" i="7"/>
  <c r="M30" i="7"/>
  <c r="N30" i="7"/>
  <c r="O30" i="7"/>
  <c r="P30" i="7"/>
  <c r="Q30" i="7"/>
  <c r="R30" i="7"/>
  <c r="S30" i="7"/>
  <c r="T30" i="7"/>
  <c r="U30" i="7"/>
  <c r="V30" i="7"/>
  <c r="W30" i="7"/>
  <c r="X30" i="7"/>
  <c r="Y30" i="7"/>
  <c r="Z30" i="7"/>
  <c r="AA30" i="7"/>
  <c r="D31" i="7"/>
  <c r="E31" i="7"/>
  <c r="F31" i="7"/>
  <c r="G31" i="7"/>
  <c r="H31" i="7"/>
  <c r="I31" i="7"/>
  <c r="J31" i="7"/>
  <c r="K31" i="7"/>
  <c r="L31" i="7"/>
  <c r="M31" i="7"/>
  <c r="N31" i="7"/>
  <c r="O31" i="7"/>
  <c r="P31" i="7"/>
  <c r="Q31" i="7"/>
  <c r="R31" i="7"/>
  <c r="S31" i="7"/>
  <c r="T31" i="7"/>
  <c r="U31" i="7"/>
  <c r="V31" i="7"/>
  <c r="W31" i="7"/>
  <c r="X31" i="7"/>
  <c r="Y31" i="7"/>
  <c r="Z31" i="7"/>
  <c r="AA31" i="7"/>
  <c r="D32" i="7"/>
  <c r="E32" i="7"/>
  <c r="F32" i="7"/>
  <c r="G32" i="7"/>
  <c r="H32" i="7"/>
  <c r="I32" i="7"/>
  <c r="J32" i="7"/>
  <c r="K32" i="7"/>
  <c r="L32" i="7"/>
  <c r="M32" i="7"/>
  <c r="N32" i="7"/>
  <c r="O32" i="7"/>
  <c r="P32" i="7"/>
  <c r="Q32" i="7"/>
  <c r="R32" i="7"/>
  <c r="S32" i="7"/>
  <c r="T32" i="7"/>
  <c r="U32" i="7"/>
  <c r="V32" i="7"/>
  <c r="W32" i="7"/>
  <c r="X32" i="7"/>
  <c r="Y32" i="7"/>
  <c r="Z32" i="7"/>
  <c r="AA32" i="7"/>
  <c r="F3" i="4" l="1"/>
  <c r="G3" i="4" s="1"/>
  <c r="H6" i="4"/>
  <c r="B3" i="4"/>
  <c r="B3" i="7"/>
  <c r="B3" i="8"/>
  <c r="B32" i="4"/>
  <c r="B32" i="7"/>
  <c r="B32" i="8"/>
  <c r="B31" i="4"/>
  <c r="B31" i="7"/>
  <c r="B30" i="4"/>
  <c r="B30" i="7"/>
  <c r="B29" i="4"/>
  <c r="B29" i="7"/>
  <c r="B28" i="4"/>
  <c r="B28" i="7"/>
  <c r="B27" i="4"/>
  <c r="B27" i="7"/>
  <c r="B27" i="8"/>
  <c r="B26" i="4"/>
  <c r="B26" i="7"/>
  <c r="B26" i="8"/>
  <c r="B25" i="4"/>
  <c r="B25" i="7"/>
  <c r="B25" i="8"/>
  <c r="B24" i="4"/>
  <c r="B24" i="7"/>
  <c r="B24" i="8"/>
  <c r="B23" i="4"/>
  <c r="B23" i="7"/>
  <c r="B23" i="8"/>
  <c r="B22" i="4"/>
  <c r="B22" i="7"/>
  <c r="B22" i="8"/>
  <c r="B21" i="4"/>
  <c r="B21" i="7"/>
  <c r="B21" i="8"/>
  <c r="B20" i="4"/>
  <c r="B20" i="7"/>
  <c r="B20" i="8"/>
  <c r="B19" i="4"/>
  <c r="B19" i="7"/>
  <c r="B19" i="8"/>
  <c r="B18" i="4"/>
  <c r="B18" i="7"/>
  <c r="B18" i="8"/>
  <c r="B17" i="4"/>
  <c r="B17" i="7"/>
  <c r="B17" i="8"/>
  <c r="B16" i="4"/>
  <c r="B16" i="7"/>
  <c r="B16" i="8"/>
  <c r="B15" i="4"/>
  <c r="B15" i="7"/>
  <c r="B15" i="8"/>
  <c r="B14" i="4"/>
  <c r="B14" i="7"/>
  <c r="B14" i="8"/>
  <c r="B13" i="4"/>
  <c r="B13" i="7"/>
  <c r="B13" i="8"/>
  <c r="B12" i="4"/>
  <c r="B12" i="7"/>
  <c r="B12" i="8"/>
  <c r="B11" i="4"/>
  <c r="B11" i="7"/>
  <c r="B11" i="8"/>
  <c r="B10" i="4"/>
  <c r="B10" i="7"/>
  <c r="B10" i="8"/>
  <c r="B9" i="4"/>
  <c r="B9" i="7"/>
  <c r="B9" i="8"/>
  <c r="B8" i="4"/>
  <c r="B8" i="7"/>
  <c r="B8" i="8"/>
  <c r="B7" i="4"/>
  <c r="B7" i="7"/>
  <c r="B7" i="8"/>
  <c r="B6" i="4"/>
  <c r="B6" i="7"/>
  <c r="B6" i="8"/>
  <c r="B5" i="4"/>
  <c r="B5" i="7"/>
  <c r="B5" i="8"/>
  <c r="B4" i="4"/>
  <c r="B4" i="7"/>
  <c r="B4" i="8"/>
  <c r="F24" i="4"/>
  <c r="G24" i="4"/>
  <c r="G14" i="4"/>
  <c r="H14" i="4" s="1"/>
  <c r="E26" i="4"/>
  <c r="G16" i="4"/>
  <c r="I6" i="4"/>
  <c r="H6" i="7"/>
  <c r="J6" i="4"/>
  <c r="I6" i="7"/>
  <c r="E13" i="4"/>
  <c r="F13" i="4"/>
  <c r="G6" i="7"/>
  <c r="E27" i="4"/>
  <c r="F27" i="4"/>
  <c r="G27" i="4"/>
  <c r="H27" i="4"/>
  <c r="F25" i="4"/>
  <c r="G25" i="4"/>
  <c r="G23" i="4"/>
  <c r="G7" i="4"/>
  <c r="H7" i="4"/>
  <c r="F17" i="4"/>
  <c r="F8" i="4"/>
  <c r="G8" i="4"/>
  <c r="H8" i="4"/>
  <c r="F9" i="4"/>
  <c r="E21" i="4"/>
  <c r="F21" i="4"/>
  <c r="I20" i="4"/>
  <c r="J20" i="4"/>
  <c r="F11" i="4"/>
  <c r="E12" i="4"/>
  <c r="I18" i="4"/>
  <c r="J18" i="4"/>
  <c r="F22" i="4"/>
  <c r="G22" i="4"/>
  <c r="M10" i="4"/>
  <c r="F19" i="4"/>
  <c r="G5" i="4"/>
  <c r="F15" i="4"/>
  <c r="F4" i="4"/>
  <c r="H3" i="4"/>
  <c r="G3" i="7"/>
  <c r="F3" i="7"/>
  <c r="E3" i="7"/>
  <c r="D3" i="7"/>
  <c r="G5" i="7" l="1"/>
  <c r="H5" i="4"/>
  <c r="I5" i="4"/>
  <c r="J5" i="4"/>
  <c r="H22" i="4"/>
  <c r="I22" i="4" s="1"/>
  <c r="I27" i="4"/>
  <c r="J27" i="4" s="1"/>
  <c r="G4" i="4"/>
  <c r="H4" i="4"/>
  <c r="G4" i="7"/>
  <c r="F4" i="7"/>
  <c r="G9" i="4"/>
  <c r="J5" i="7"/>
  <c r="F12" i="4"/>
  <c r="H25" i="4"/>
  <c r="N10" i="4"/>
  <c r="O10" i="4"/>
  <c r="I25" i="4"/>
  <c r="H16" i="4"/>
  <c r="P10" i="4"/>
  <c r="P10" i="6" s="1"/>
  <c r="H24" i="4"/>
  <c r="I24" i="4"/>
  <c r="G15" i="4"/>
  <c r="Q10" i="4"/>
  <c r="G19" i="4"/>
  <c r="K27" i="4"/>
  <c r="K6" i="4"/>
  <c r="L6" i="4" s="1"/>
  <c r="G17" i="4"/>
  <c r="F26" i="4"/>
  <c r="F33" i="4" s="1"/>
  <c r="H19" i="4"/>
  <c r="K20" i="4"/>
  <c r="K18" i="4"/>
  <c r="L18" i="4"/>
  <c r="M18" i="4"/>
  <c r="G13" i="4"/>
  <c r="H13" i="4"/>
  <c r="G21" i="4"/>
  <c r="H21" i="4" s="1"/>
  <c r="I21" i="4" s="1"/>
  <c r="I5" i="7"/>
  <c r="I7" i="4"/>
  <c r="I14" i="4"/>
  <c r="H23" i="4"/>
  <c r="G11" i="4"/>
  <c r="I8" i="4"/>
  <c r="J8" i="4"/>
  <c r="K6" i="7"/>
  <c r="J6" i="7"/>
  <c r="H5" i="7"/>
  <c r="J22" i="4"/>
  <c r="K5" i="4"/>
  <c r="K5" i="7" s="1"/>
  <c r="I3" i="4"/>
  <c r="J3" i="4"/>
  <c r="H3" i="7"/>
  <c r="AA32" i="6"/>
  <c r="Z32" i="6"/>
  <c r="Y32" i="6"/>
  <c r="X32" i="6"/>
  <c r="W32" i="6"/>
  <c r="V32" i="6"/>
  <c r="U32" i="6"/>
  <c r="T32" i="6"/>
  <c r="S32" i="6"/>
  <c r="R32" i="6"/>
  <c r="Q32" i="6"/>
  <c r="P32" i="6"/>
  <c r="O32" i="6"/>
  <c r="N32" i="6"/>
  <c r="M32" i="6"/>
  <c r="L32" i="6"/>
  <c r="K32" i="6"/>
  <c r="J32" i="6"/>
  <c r="I32" i="6"/>
  <c r="H32" i="6"/>
  <c r="G32" i="6"/>
  <c r="F32" i="6"/>
  <c r="E32" i="6"/>
  <c r="D32" i="6"/>
  <c r="C32" i="6"/>
  <c r="AA31" i="6"/>
  <c r="Z31" i="6"/>
  <c r="Y31" i="6"/>
  <c r="X31" i="6"/>
  <c r="W31" i="6"/>
  <c r="V31" i="6"/>
  <c r="U31" i="6"/>
  <c r="T31" i="6"/>
  <c r="S31" i="6"/>
  <c r="R31" i="6"/>
  <c r="Q31" i="6"/>
  <c r="P31" i="6"/>
  <c r="O31" i="6"/>
  <c r="N31" i="6"/>
  <c r="M31" i="6"/>
  <c r="L31" i="6"/>
  <c r="K31" i="6"/>
  <c r="J31" i="6"/>
  <c r="I31" i="6"/>
  <c r="H31" i="6"/>
  <c r="G31" i="6"/>
  <c r="F31" i="6"/>
  <c r="E31" i="6"/>
  <c r="D31" i="6"/>
  <c r="C31" i="6"/>
  <c r="AA30" i="6"/>
  <c r="Z30" i="6"/>
  <c r="Y30" i="6"/>
  <c r="X30" i="6"/>
  <c r="W30" i="6"/>
  <c r="V30" i="6"/>
  <c r="U30" i="6"/>
  <c r="T30" i="6"/>
  <c r="S30" i="6"/>
  <c r="R30" i="6"/>
  <c r="Q30" i="6"/>
  <c r="P30" i="6"/>
  <c r="O30" i="6"/>
  <c r="N30" i="6"/>
  <c r="M30" i="6"/>
  <c r="L30" i="6"/>
  <c r="K30" i="6"/>
  <c r="J30" i="6"/>
  <c r="I30" i="6"/>
  <c r="H30" i="6"/>
  <c r="G30" i="6"/>
  <c r="F30" i="6"/>
  <c r="E30" i="6"/>
  <c r="D30" i="6"/>
  <c r="C30" i="6"/>
  <c r="AA29" i="6"/>
  <c r="Z29" i="6"/>
  <c r="Y29" i="6"/>
  <c r="X29" i="6"/>
  <c r="W29" i="6"/>
  <c r="V29" i="6"/>
  <c r="U29" i="6"/>
  <c r="T29" i="6"/>
  <c r="S29" i="6"/>
  <c r="R29" i="6"/>
  <c r="Q29" i="6"/>
  <c r="P29" i="6"/>
  <c r="O29" i="6"/>
  <c r="N29" i="6"/>
  <c r="M29" i="6"/>
  <c r="L29" i="6"/>
  <c r="K29" i="6"/>
  <c r="J29" i="6"/>
  <c r="I29" i="6"/>
  <c r="H29" i="6"/>
  <c r="G29" i="6"/>
  <c r="F29" i="6"/>
  <c r="E29" i="6"/>
  <c r="D29" i="6"/>
  <c r="C29" i="6"/>
  <c r="AA28" i="6"/>
  <c r="Z28" i="6"/>
  <c r="Y28" i="6"/>
  <c r="X28" i="6"/>
  <c r="W28" i="6"/>
  <c r="V28" i="6"/>
  <c r="U28" i="6"/>
  <c r="T28" i="6"/>
  <c r="S28" i="6"/>
  <c r="R28" i="6"/>
  <c r="Q28" i="6"/>
  <c r="P28" i="6"/>
  <c r="O28" i="6"/>
  <c r="N28" i="6"/>
  <c r="M28" i="6"/>
  <c r="L28" i="6"/>
  <c r="K28" i="6"/>
  <c r="J28" i="6"/>
  <c r="I28" i="6"/>
  <c r="H28" i="6"/>
  <c r="G28" i="6"/>
  <c r="F28" i="6"/>
  <c r="E28" i="6"/>
  <c r="D28" i="6"/>
  <c r="C28" i="6"/>
  <c r="AA27" i="6"/>
  <c r="Z27" i="6"/>
  <c r="Y27" i="6"/>
  <c r="X27" i="6"/>
  <c r="W27" i="6"/>
  <c r="V27" i="6"/>
  <c r="U27" i="6"/>
  <c r="T27" i="6"/>
  <c r="S27" i="6"/>
  <c r="R27" i="6"/>
  <c r="Q27" i="6"/>
  <c r="P27" i="6"/>
  <c r="O27" i="6"/>
  <c r="N27" i="6"/>
  <c r="M27" i="6"/>
  <c r="L27" i="6"/>
  <c r="K27" i="6"/>
  <c r="J27" i="6"/>
  <c r="I27" i="6"/>
  <c r="H27" i="6"/>
  <c r="G27" i="6"/>
  <c r="F27" i="6"/>
  <c r="E27" i="6"/>
  <c r="D27" i="6"/>
  <c r="C27" i="6"/>
  <c r="AA26" i="6"/>
  <c r="Z26" i="6"/>
  <c r="Y26" i="6"/>
  <c r="X26" i="6"/>
  <c r="W26" i="6"/>
  <c r="V26" i="6"/>
  <c r="U26" i="6"/>
  <c r="T26" i="6"/>
  <c r="S26" i="6"/>
  <c r="R26" i="6"/>
  <c r="Q26" i="6"/>
  <c r="P26" i="6"/>
  <c r="O26" i="6"/>
  <c r="N26" i="6"/>
  <c r="M26" i="6"/>
  <c r="L26" i="6"/>
  <c r="K26" i="6"/>
  <c r="J26" i="6"/>
  <c r="I26" i="6"/>
  <c r="H26" i="6"/>
  <c r="G26" i="6"/>
  <c r="F26" i="6"/>
  <c r="E26" i="6"/>
  <c r="D26" i="6"/>
  <c r="C26" i="6"/>
  <c r="AA25" i="6"/>
  <c r="Z25" i="6"/>
  <c r="Y25" i="6"/>
  <c r="X25" i="6"/>
  <c r="W25" i="6"/>
  <c r="V25" i="6"/>
  <c r="U25" i="6"/>
  <c r="T25" i="6"/>
  <c r="S25" i="6"/>
  <c r="R25" i="6"/>
  <c r="Q25" i="6"/>
  <c r="P25" i="6"/>
  <c r="O25" i="6"/>
  <c r="N25" i="6"/>
  <c r="M25" i="6"/>
  <c r="L25" i="6"/>
  <c r="K25" i="6"/>
  <c r="J25" i="6"/>
  <c r="I25" i="6"/>
  <c r="H25" i="6"/>
  <c r="G25" i="6"/>
  <c r="F25" i="6"/>
  <c r="E25" i="6"/>
  <c r="D25" i="6"/>
  <c r="C25" i="6"/>
  <c r="AA24" i="6"/>
  <c r="Z24" i="6"/>
  <c r="Y24" i="6"/>
  <c r="X24" i="6"/>
  <c r="W24" i="6"/>
  <c r="V24" i="6"/>
  <c r="U24" i="6"/>
  <c r="T24" i="6"/>
  <c r="S24" i="6"/>
  <c r="R24" i="6"/>
  <c r="Q24" i="6"/>
  <c r="P24" i="6"/>
  <c r="O24" i="6"/>
  <c r="N24" i="6"/>
  <c r="M24" i="6"/>
  <c r="L24" i="6"/>
  <c r="K24" i="6"/>
  <c r="J24" i="6"/>
  <c r="I24" i="6"/>
  <c r="H24" i="6"/>
  <c r="G24" i="6"/>
  <c r="F24" i="6"/>
  <c r="E24" i="6"/>
  <c r="D24" i="6"/>
  <c r="C24" i="6"/>
  <c r="AA23" i="6"/>
  <c r="Z23" i="6"/>
  <c r="Y23" i="6"/>
  <c r="X23" i="6"/>
  <c r="W23" i="6"/>
  <c r="V23" i="6"/>
  <c r="U23" i="6"/>
  <c r="T23" i="6"/>
  <c r="S23" i="6"/>
  <c r="R23" i="6"/>
  <c r="Q23" i="6"/>
  <c r="P23" i="6"/>
  <c r="O23" i="6"/>
  <c r="N23" i="6"/>
  <c r="M23" i="6"/>
  <c r="L23" i="6"/>
  <c r="K23" i="6"/>
  <c r="J23" i="6"/>
  <c r="I23" i="6"/>
  <c r="H23" i="6"/>
  <c r="G23" i="6"/>
  <c r="F23" i="6"/>
  <c r="E23" i="6"/>
  <c r="D23" i="6"/>
  <c r="C23" i="6"/>
  <c r="AA22" i="6"/>
  <c r="Z22" i="6"/>
  <c r="Y22" i="6"/>
  <c r="X22" i="6"/>
  <c r="W22" i="6"/>
  <c r="V22" i="6"/>
  <c r="U22" i="6"/>
  <c r="T22" i="6"/>
  <c r="S22" i="6"/>
  <c r="R22" i="6"/>
  <c r="Q22" i="6"/>
  <c r="P22" i="6"/>
  <c r="O22" i="6"/>
  <c r="N22" i="6"/>
  <c r="M22" i="6"/>
  <c r="L22" i="6"/>
  <c r="K22" i="6"/>
  <c r="J22" i="6"/>
  <c r="I22" i="6"/>
  <c r="H22" i="6"/>
  <c r="G22" i="6"/>
  <c r="F22" i="6"/>
  <c r="E22" i="6"/>
  <c r="D22" i="6"/>
  <c r="C22" i="6"/>
  <c r="AA21" i="6"/>
  <c r="Z21" i="6"/>
  <c r="Y21" i="6"/>
  <c r="X21" i="6"/>
  <c r="W21" i="6"/>
  <c r="V21" i="6"/>
  <c r="U21" i="6"/>
  <c r="T21" i="6"/>
  <c r="S21" i="6"/>
  <c r="R21" i="6"/>
  <c r="Q21" i="6"/>
  <c r="P21" i="6"/>
  <c r="O21" i="6"/>
  <c r="N21" i="6"/>
  <c r="M21" i="6"/>
  <c r="L21" i="6"/>
  <c r="K21" i="6"/>
  <c r="J21" i="6"/>
  <c r="I21" i="6"/>
  <c r="H21" i="6"/>
  <c r="G21" i="6"/>
  <c r="F21" i="6"/>
  <c r="E21" i="6"/>
  <c r="D21" i="6"/>
  <c r="C21" i="6"/>
  <c r="AA20" i="6"/>
  <c r="Z20" i="6"/>
  <c r="Y20" i="6"/>
  <c r="X20" i="6"/>
  <c r="W20" i="6"/>
  <c r="V20" i="6"/>
  <c r="U20" i="6"/>
  <c r="T20" i="6"/>
  <c r="S20" i="6"/>
  <c r="R20" i="6"/>
  <c r="Q20" i="6"/>
  <c r="P20" i="6"/>
  <c r="O20" i="6"/>
  <c r="N20" i="6"/>
  <c r="M20" i="6"/>
  <c r="L20" i="6"/>
  <c r="K20" i="6"/>
  <c r="J20" i="6"/>
  <c r="I20" i="6"/>
  <c r="H20" i="6"/>
  <c r="G20" i="6"/>
  <c r="F20" i="6"/>
  <c r="E20" i="6"/>
  <c r="D20" i="6"/>
  <c r="C20" i="6"/>
  <c r="AA19" i="6"/>
  <c r="Z19" i="6"/>
  <c r="Y19" i="6"/>
  <c r="X19" i="6"/>
  <c r="W19" i="6"/>
  <c r="V19" i="6"/>
  <c r="U19" i="6"/>
  <c r="T19" i="6"/>
  <c r="S19" i="6"/>
  <c r="R19" i="6"/>
  <c r="Q19" i="6"/>
  <c r="P19" i="6"/>
  <c r="O19" i="6"/>
  <c r="N19" i="6"/>
  <c r="M19" i="6"/>
  <c r="L19" i="6"/>
  <c r="K19" i="6"/>
  <c r="J19" i="6"/>
  <c r="I19" i="6"/>
  <c r="H19" i="6"/>
  <c r="G19" i="6"/>
  <c r="F19" i="6"/>
  <c r="E19" i="6"/>
  <c r="D19" i="6"/>
  <c r="C19" i="6"/>
  <c r="AA18" i="6"/>
  <c r="Z18" i="6"/>
  <c r="Y18" i="6"/>
  <c r="X18" i="6"/>
  <c r="W18" i="6"/>
  <c r="V18" i="6"/>
  <c r="U18" i="6"/>
  <c r="T18" i="6"/>
  <c r="S18" i="6"/>
  <c r="R18" i="6"/>
  <c r="Q18" i="6"/>
  <c r="P18" i="6"/>
  <c r="O18" i="6"/>
  <c r="N18" i="6"/>
  <c r="M18" i="6"/>
  <c r="L18" i="6"/>
  <c r="K18" i="6"/>
  <c r="J18" i="6"/>
  <c r="I18" i="6"/>
  <c r="H18" i="6"/>
  <c r="G18" i="6"/>
  <c r="F18" i="6"/>
  <c r="E18" i="6"/>
  <c r="D18" i="6"/>
  <c r="C18" i="6"/>
  <c r="AA17" i="6"/>
  <c r="Z17" i="6"/>
  <c r="Y17" i="6"/>
  <c r="X17" i="6"/>
  <c r="W17" i="6"/>
  <c r="V17" i="6"/>
  <c r="U17" i="6"/>
  <c r="T17" i="6"/>
  <c r="S17" i="6"/>
  <c r="R17" i="6"/>
  <c r="Q17" i="6"/>
  <c r="P17" i="6"/>
  <c r="O17" i="6"/>
  <c r="N17" i="6"/>
  <c r="M17" i="6"/>
  <c r="L17" i="6"/>
  <c r="K17" i="6"/>
  <c r="J17" i="6"/>
  <c r="I17" i="6"/>
  <c r="H17" i="6"/>
  <c r="G17" i="6"/>
  <c r="F17" i="6"/>
  <c r="E17" i="6"/>
  <c r="D17" i="6"/>
  <c r="C17" i="6"/>
  <c r="AA16" i="6"/>
  <c r="Z16" i="6"/>
  <c r="Y16" i="6"/>
  <c r="X16" i="6"/>
  <c r="W16" i="6"/>
  <c r="V16" i="6"/>
  <c r="U16" i="6"/>
  <c r="T16" i="6"/>
  <c r="S16" i="6"/>
  <c r="R16" i="6"/>
  <c r="Q16" i="6"/>
  <c r="P16" i="6"/>
  <c r="O16" i="6"/>
  <c r="N16" i="6"/>
  <c r="M16" i="6"/>
  <c r="L16" i="6"/>
  <c r="K16" i="6"/>
  <c r="J16" i="6"/>
  <c r="I16" i="6"/>
  <c r="H16" i="6"/>
  <c r="G16" i="6"/>
  <c r="F16" i="6"/>
  <c r="E16" i="6"/>
  <c r="D16" i="6"/>
  <c r="C16" i="6"/>
  <c r="AA15" i="6"/>
  <c r="Z15" i="6"/>
  <c r="Y15" i="6"/>
  <c r="X15" i="6"/>
  <c r="W15" i="6"/>
  <c r="V15" i="6"/>
  <c r="U15" i="6"/>
  <c r="Q15" i="6"/>
  <c r="P15" i="6"/>
  <c r="O15" i="6"/>
  <c r="N15" i="6"/>
  <c r="M15" i="6"/>
  <c r="L15" i="6"/>
  <c r="K15" i="6"/>
  <c r="J15" i="6"/>
  <c r="I15" i="6"/>
  <c r="H15" i="6"/>
  <c r="G15" i="6"/>
  <c r="F15" i="6"/>
  <c r="E15" i="6"/>
  <c r="D15" i="6"/>
  <c r="C15" i="6"/>
  <c r="AA14" i="6"/>
  <c r="Z14" i="6"/>
  <c r="Y14" i="6"/>
  <c r="X14" i="6"/>
  <c r="W14" i="6"/>
  <c r="V14" i="6"/>
  <c r="U14" i="6"/>
  <c r="T14" i="6"/>
  <c r="O14" i="6"/>
  <c r="N14" i="6"/>
  <c r="M14" i="6"/>
  <c r="L14" i="6"/>
  <c r="K14" i="6"/>
  <c r="J14" i="6"/>
  <c r="I14" i="6"/>
  <c r="H14" i="6"/>
  <c r="G14" i="6"/>
  <c r="F14" i="6"/>
  <c r="E14" i="6"/>
  <c r="D14" i="6"/>
  <c r="C14" i="6"/>
  <c r="AA13" i="6"/>
  <c r="Z13" i="6"/>
  <c r="Y13" i="6"/>
  <c r="X13" i="6"/>
  <c r="W13" i="6"/>
  <c r="V13" i="6"/>
  <c r="U13" i="6"/>
  <c r="T13" i="6"/>
  <c r="S13" i="6"/>
  <c r="R13" i="6"/>
  <c r="M13" i="6"/>
  <c r="L13" i="6"/>
  <c r="K13" i="6"/>
  <c r="J13" i="6"/>
  <c r="I13" i="6"/>
  <c r="H13" i="6"/>
  <c r="G13" i="6"/>
  <c r="F13" i="6"/>
  <c r="E13" i="6"/>
  <c r="D13" i="6"/>
  <c r="C13" i="6"/>
  <c r="AA12" i="6"/>
  <c r="Z12" i="6"/>
  <c r="Y12" i="6"/>
  <c r="X12" i="6"/>
  <c r="W12" i="6"/>
  <c r="V12" i="6"/>
  <c r="U12" i="6"/>
  <c r="T12" i="6"/>
  <c r="S12" i="6"/>
  <c r="R12" i="6"/>
  <c r="Q12" i="6"/>
  <c r="P12" i="6"/>
  <c r="K12" i="6"/>
  <c r="J12" i="6"/>
  <c r="I12" i="6"/>
  <c r="H12" i="6"/>
  <c r="G12" i="6"/>
  <c r="F12" i="6"/>
  <c r="E12" i="6"/>
  <c r="D12" i="6"/>
  <c r="C12" i="6"/>
  <c r="AA11" i="6"/>
  <c r="Z11" i="6"/>
  <c r="Y11" i="6"/>
  <c r="X11" i="6"/>
  <c r="W11" i="6"/>
  <c r="V11" i="6"/>
  <c r="U11" i="6"/>
  <c r="T11" i="6"/>
  <c r="S11" i="6"/>
  <c r="R11" i="6"/>
  <c r="Q11" i="6"/>
  <c r="P11" i="6"/>
  <c r="O11" i="6"/>
  <c r="N11" i="6"/>
  <c r="M11" i="6"/>
  <c r="I11" i="6"/>
  <c r="H11" i="6"/>
  <c r="G11" i="6"/>
  <c r="F11" i="6"/>
  <c r="E11" i="6"/>
  <c r="D11" i="6"/>
  <c r="C11" i="6"/>
  <c r="AA10" i="6"/>
  <c r="Z10" i="6"/>
  <c r="Y10" i="6"/>
  <c r="X10" i="6"/>
  <c r="W10" i="6"/>
  <c r="V10" i="6"/>
  <c r="U10" i="6"/>
  <c r="T10" i="6"/>
  <c r="S10" i="6"/>
  <c r="O10" i="6"/>
  <c r="N10" i="6"/>
  <c r="M10" i="6"/>
  <c r="L10" i="6"/>
  <c r="K10" i="6"/>
  <c r="J10" i="6"/>
  <c r="I10" i="6"/>
  <c r="H10" i="6"/>
  <c r="G10" i="6"/>
  <c r="F10" i="6"/>
  <c r="E10" i="6"/>
  <c r="D10" i="6"/>
  <c r="C10" i="6"/>
  <c r="AA9" i="6"/>
  <c r="Z9" i="6"/>
  <c r="Y9" i="6"/>
  <c r="X9" i="6"/>
  <c r="W9" i="6"/>
  <c r="V9" i="6"/>
  <c r="U9" i="6"/>
  <c r="T9" i="6"/>
  <c r="S9" i="6"/>
  <c r="R9" i="6"/>
  <c r="L9" i="6"/>
  <c r="K9" i="6"/>
  <c r="J9" i="6"/>
  <c r="I9" i="6"/>
  <c r="H9" i="6"/>
  <c r="G9" i="6"/>
  <c r="F9" i="6"/>
  <c r="E9" i="6"/>
  <c r="D9" i="6"/>
  <c r="C9" i="6"/>
  <c r="AA8" i="6"/>
  <c r="Z8" i="6"/>
  <c r="Y8" i="6"/>
  <c r="X8" i="6"/>
  <c r="W8" i="6"/>
  <c r="V8" i="6"/>
  <c r="U8" i="6"/>
  <c r="T8" i="6"/>
  <c r="S8" i="6"/>
  <c r="R8" i="6"/>
  <c r="Q8" i="6"/>
  <c r="P8" i="6"/>
  <c r="J8" i="6"/>
  <c r="I8" i="6"/>
  <c r="H8" i="6"/>
  <c r="G8" i="6"/>
  <c r="F8" i="6"/>
  <c r="E8" i="6"/>
  <c r="D8" i="6"/>
  <c r="C8" i="6"/>
  <c r="AA7" i="6"/>
  <c r="Z7" i="6"/>
  <c r="Y7" i="6"/>
  <c r="X7" i="6"/>
  <c r="W7" i="6"/>
  <c r="V7" i="6"/>
  <c r="U7" i="6"/>
  <c r="T7" i="6"/>
  <c r="S7" i="6"/>
  <c r="R7" i="6"/>
  <c r="Q7" i="6"/>
  <c r="P7" i="6"/>
  <c r="O7" i="6"/>
  <c r="N7" i="6"/>
  <c r="H7" i="6"/>
  <c r="G7" i="6"/>
  <c r="F7" i="6"/>
  <c r="E7" i="6"/>
  <c r="D7" i="6"/>
  <c r="C7" i="6"/>
  <c r="AA6" i="6"/>
  <c r="Z6" i="6"/>
  <c r="Y6" i="6"/>
  <c r="X6" i="6"/>
  <c r="W6" i="6"/>
  <c r="V6" i="6"/>
  <c r="U6" i="6"/>
  <c r="T6" i="6"/>
  <c r="S6" i="6"/>
  <c r="R6" i="6"/>
  <c r="Q6" i="6"/>
  <c r="P6" i="6"/>
  <c r="O6" i="6"/>
  <c r="N6" i="6"/>
  <c r="M6" i="6"/>
  <c r="L6" i="6"/>
  <c r="K6" i="6"/>
  <c r="J6" i="6"/>
  <c r="I6" i="6"/>
  <c r="H6" i="6"/>
  <c r="G6" i="6"/>
  <c r="F6" i="6"/>
  <c r="E6" i="6"/>
  <c r="D6" i="6"/>
  <c r="C6" i="6"/>
  <c r="AA5" i="6"/>
  <c r="Z5" i="6"/>
  <c r="Y5" i="6"/>
  <c r="X5" i="6"/>
  <c r="W5" i="6"/>
  <c r="V5" i="6"/>
  <c r="U5" i="6"/>
  <c r="T5" i="6"/>
  <c r="S5" i="6"/>
  <c r="R5" i="6"/>
  <c r="Q5" i="6"/>
  <c r="P5" i="6"/>
  <c r="O5" i="6"/>
  <c r="N5" i="6"/>
  <c r="M5" i="6"/>
  <c r="L5" i="6"/>
  <c r="K5" i="6"/>
  <c r="J5" i="6"/>
  <c r="I5" i="6"/>
  <c r="H5" i="6"/>
  <c r="G5" i="6"/>
  <c r="F5" i="6"/>
  <c r="E5" i="6"/>
  <c r="D5" i="6"/>
  <c r="C5" i="6"/>
  <c r="AA4" i="6"/>
  <c r="Z4" i="6"/>
  <c r="Y4" i="6"/>
  <c r="X4" i="6"/>
  <c r="W4" i="6"/>
  <c r="V4" i="6"/>
  <c r="U4" i="6"/>
  <c r="T4" i="6"/>
  <c r="S4" i="6"/>
  <c r="R4" i="6"/>
  <c r="Q4" i="6"/>
  <c r="P4" i="6"/>
  <c r="O4" i="6"/>
  <c r="N4" i="6"/>
  <c r="M4" i="6"/>
  <c r="L4" i="6"/>
  <c r="K4" i="6"/>
  <c r="J4" i="6"/>
  <c r="H4" i="6"/>
  <c r="G4" i="6"/>
  <c r="F4" i="6"/>
  <c r="E4" i="6"/>
  <c r="D4" i="6"/>
  <c r="C4" i="6"/>
  <c r="AA3" i="6"/>
  <c r="Z3" i="6"/>
  <c r="Y3" i="6"/>
  <c r="X3" i="6"/>
  <c r="W3" i="6"/>
  <c r="V3" i="6"/>
  <c r="U3" i="6"/>
  <c r="T3" i="6"/>
  <c r="S3" i="6"/>
  <c r="R3" i="6"/>
  <c r="Q3" i="6"/>
  <c r="P3" i="6"/>
  <c r="O3" i="6"/>
  <c r="N3" i="6"/>
  <c r="M3" i="6"/>
  <c r="L3" i="6"/>
  <c r="K3" i="6"/>
  <c r="J3" i="6"/>
  <c r="I3" i="6"/>
  <c r="H3" i="6"/>
  <c r="G3" i="6"/>
  <c r="F3" i="6"/>
  <c r="E3" i="6"/>
  <c r="D3" i="6"/>
  <c r="C3" i="6"/>
  <c r="AA33" i="5"/>
  <c r="Z33" i="5"/>
  <c r="Y33" i="5"/>
  <c r="X33" i="5"/>
  <c r="W33" i="5"/>
  <c r="V33" i="5"/>
  <c r="U33" i="5"/>
  <c r="T33" i="5"/>
  <c r="S33" i="5"/>
  <c r="R33" i="5"/>
  <c r="Q33" i="5"/>
  <c r="P33" i="5"/>
  <c r="O33" i="5"/>
  <c r="N33" i="5"/>
  <c r="M33" i="5"/>
  <c r="L33" i="5"/>
  <c r="K33" i="5"/>
  <c r="J33" i="5"/>
  <c r="I33" i="5"/>
  <c r="H33" i="5"/>
  <c r="G33" i="5"/>
  <c r="F33" i="5"/>
  <c r="E33" i="5"/>
  <c r="D33" i="5"/>
  <c r="D34" i="5" s="1"/>
  <c r="E34" i="5" s="1"/>
  <c r="F34" i="5" s="1"/>
  <c r="G34" i="5" s="1"/>
  <c r="H34" i="5" s="1"/>
  <c r="I34" i="5" s="1"/>
  <c r="J34" i="5" s="1"/>
  <c r="K34" i="5" s="1"/>
  <c r="L34" i="5" s="1"/>
  <c r="M34" i="5" s="1"/>
  <c r="N34" i="5" s="1"/>
  <c r="O34" i="5" s="1"/>
  <c r="P34" i="5" s="1"/>
  <c r="Q34" i="5" s="1"/>
  <c r="R34" i="5" s="1"/>
  <c r="S34" i="5" s="1"/>
  <c r="T34" i="5" s="1"/>
  <c r="U34" i="5" s="1"/>
  <c r="V34" i="5" s="1"/>
  <c r="W34" i="5" s="1"/>
  <c r="X34" i="5" s="1"/>
  <c r="Y34" i="5" s="1"/>
  <c r="Z34" i="5" s="1"/>
  <c r="AA34" i="5" s="1"/>
  <c r="AB32" i="5"/>
  <c r="AB31" i="5"/>
  <c r="AB30" i="5"/>
  <c r="AB29" i="5"/>
  <c r="AB28" i="5"/>
  <c r="AB27" i="5"/>
  <c r="AB26" i="5"/>
  <c r="AB25" i="5"/>
  <c r="AB24" i="5"/>
  <c r="AB23" i="5"/>
  <c r="AB22" i="5"/>
  <c r="AB21" i="5"/>
  <c r="AB20" i="5"/>
  <c r="AB19" i="5"/>
  <c r="AB18" i="5"/>
  <c r="AB17" i="5"/>
  <c r="AB16" i="5"/>
  <c r="AB15" i="5"/>
  <c r="AB14" i="5"/>
  <c r="AB13" i="5"/>
  <c r="AB12" i="5"/>
  <c r="AB11" i="5"/>
  <c r="AB10" i="5"/>
  <c r="AB9" i="5"/>
  <c r="AB8" i="5"/>
  <c r="AB7" i="5"/>
  <c r="AB6" i="5"/>
  <c r="AB5" i="5"/>
  <c r="AB4" i="5"/>
  <c r="AB33" i="5" s="1"/>
  <c r="AB3" i="5"/>
  <c r="E33" i="4"/>
  <c r="D33" i="4"/>
  <c r="AA33" i="3"/>
  <c r="Z33" i="3"/>
  <c r="Y33" i="3"/>
  <c r="X33" i="3"/>
  <c r="W33" i="3"/>
  <c r="V33" i="3"/>
  <c r="U33" i="3"/>
  <c r="T33" i="3"/>
  <c r="S33" i="3"/>
  <c r="R33" i="3"/>
  <c r="Q33" i="3"/>
  <c r="P33" i="3"/>
  <c r="O33" i="3"/>
  <c r="N33" i="3"/>
  <c r="M33" i="3"/>
  <c r="L33" i="3"/>
  <c r="K33" i="3"/>
  <c r="J33" i="3"/>
  <c r="I33" i="3"/>
  <c r="H33" i="3"/>
  <c r="G33" i="3"/>
  <c r="F33" i="3"/>
  <c r="E33" i="3"/>
  <c r="D33" i="3"/>
  <c r="D34" i="3" s="1"/>
  <c r="E34" i="3" s="1"/>
  <c r="F34" i="3" s="1"/>
  <c r="G34" i="3" s="1"/>
  <c r="H34" i="3" s="1"/>
  <c r="I34" i="3" s="1"/>
  <c r="J34" i="3" s="1"/>
  <c r="K34" i="3" s="1"/>
  <c r="L34" i="3" s="1"/>
  <c r="M34" i="3" s="1"/>
  <c r="N34" i="3" s="1"/>
  <c r="O34" i="3" s="1"/>
  <c r="P34" i="3" s="1"/>
  <c r="Q34" i="3" s="1"/>
  <c r="R34" i="3" s="1"/>
  <c r="S34" i="3" s="1"/>
  <c r="T34" i="3" s="1"/>
  <c r="U34" i="3" s="1"/>
  <c r="V34" i="3" s="1"/>
  <c r="W34" i="3" s="1"/>
  <c r="X34" i="3" s="1"/>
  <c r="Y34" i="3" s="1"/>
  <c r="Z34" i="3" s="1"/>
  <c r="AA34" i="3" s="1"/>
  <c r="AB32" i="3"/>
  <c r="AB31" i="3"/>
  <c r="AB30" i="3"/>
  <c r="AB29" i="3"/>
  <c r="AB28" i="3"/>
  <c r="AB27" i="3"/>
  <c r="AB26" i="3"/>
  <c r="AB25" i="3"/>
  <c r="AB24" i="3"/>
  <c r="AB23" i="3"/>
  <c r="AB22" i="3"/>
  <c r="AB21" i="3"/>
  <c r="AB20" i="3"/>
  <c r="AB19" i="3"/>
  <c r="AB18" i="3"/>
  <c r="AB17" i="3"/>
  <c r="AB16" i="3"/>
  <c r="AB15" i="3"/>
  <c r="AB14" i="3"/>
  <c r="AB13" i="3"/>
  <c r="AB12" i="3"/>
  <c r="AB11" i="3"/>
  <c r="AB10" i="3"/>
  <c r="AB9" i="3"/>
  <c r="AB8" i="3"/>
  <c r="AB7" i="3"/>
  <c r="AB6" i="3"/>
  <c r="AB5" i="3"/>
  <c r="AB4" i="3"/>
  <c r="AB3" i="3"/>
  <c r="AB33" i="3" l="1"/>
  <c r="D34" i="4"/>
  <c r="E34" i="8"/>
  <c r="F34" i="8"/>
  <c r="D34" i="8"/>
  <c r="K22" i="4"/>
  <c r="L22" i="4" s="1"/>
  <c r="J24" i="4"/>
  <c r="K24" i="4" s="1"/>
  <c r="O10" i="7"/>
  <c r="H4" i="7"/>
  <c r="H9" i="4"/>
  <c r="I9" i="4" s="1"/>
  <c r="K8" i="4"/>
  <c r="M6" i="4"/>
  <c r="L6" i="7"/>
  <c r="I16" i="4"/>
  <c r="H11" i="4"/>
  <c r="G26" i="4"/>
  <c r="H15" i="4"/>
  <c r="I7" i="7"/>
  <c r="I7" i="6"/>
  <c r="J7" i="4"/>
  <c r="K7" i="4"/>
  <c r="N18" i="4"/>
  <c r="O18" i="4" s="1"/>
  <c r="L24" i="4"/>
  <c r="J25" i="4"/>
  <c r="J21" i="4"/>
  <c r="I13" i="4"/>
  <c r="J13" i="4"/>
  <c r="P10" i="7"/>
  <c r="R10" i="4"/>
  <c r="G12" i="4"/>
  <c r="G33" i="4" s="1"/>
  <c r="I23" i="4"/>
  <c r="K25" i="4"/>
  <c r="Q10" i="6"/>
  <c r="J14" i="4"/>
  <c r="I19" i="4"/>
  <c r="M22" i="4"/>
  <c r="L20" i="4"/>
  <c r="K21" i="4"/>
  <c r="S10" i="4"/>
  <c r="L27" i="4"/>
  <c r="L5" i="4"/>
  <c r="H17" i="4"/>
  <c r="S10" i="7"/>
  <c r="Q10" i="7"/>
  <c r="I4" i="4"/>
  <c r="K3" i="4"/>
  <c r="J3" i="7"/>
  <c r="I3" i="7"/>
  <c r="E34" i="4"/>
  <c r="F34" i="4" s="1"/>
  <c r="G33" i="6"/>
  <c r="D33" i="7"/>
  <c r="E33" i="7"/>
  <c r="F33" i="7"/>
  <c r="Z33" i="6"/>
  <c r="U33" i="6"/>
  <c r="X33" i="6"/>
  <c r="Y33" i="6"/>
  <c r="H33" i="6"/>
  <c r="D33" i="6"/>
  <c r="V33" i="6"/>
  <c r="AA33" i="6"/>
  <c r="E33" i="6"/>
  <c r="F33" i="6"/>
  <c r="W33" i="6"/>
  <c r="G34" i="8" l="1"/>
  <c r="M27" i="4"/>
  <c r="K8" i="6"/>
  <c r="K8" i="7"/>
  <c r="I11" i="4"/>
  <c r="N22" i="4"/>
  <c r="K7" i="6"/>
  <c r="K7" i="7"/>
  <c r="I17" i="4"/>
  <c r="N27" i="4"/>
  <c r="O27" i="4" s="1"/>
  <c r="P27" i="4"/>
  <c r="K14" i="4"/>
  <c r="L14" i="4" s="1"/>
  <c r="L8" i="4"/>
  <c r="G33" i="7"/>
  <c r="M24" i="4"/>
  <c r="N24" i="4"/>
  <c r="G34" i="4"/>
  <c r="T10" i="4"/>
  <c r="J7" i="6"/>
  <c r="J16" i="4"/>
  <c r="J9" i="4"/>
  <c r="J7" i="7"/>
  <c r="M20" i="4"/>
  <c r="N20" i="4" s="1"/>
  <c r="P18" i="4"/>
  <c r="L25" i="4"/>
  <c r="J19" i="4"/>
  <c r="H26" i="4"/>
  <c r="M6" i="7"/>
  <c r="I4" i="6"/>
  <c r="I33" i="6" s="1"/>
  <c r="I4" i="7"/>
  <c r="M5" i="4"/>
  <c r="L5" i="7"/>
  <c r="N5" i="4"/>
  <c r="J23" i="4"/>
  <c r="M5" i="7"/>
  <c r="L21" i="4"/>
  <c r="H12" i="4"/>
  <c r="I15" i="4"/>
  <c r="J4" i="4"/>
  <c r="R10" i="6"/>
  <c r="R10" i="7"/>
  <c r="T10" i="7"/>
  <c r="L7" i="4"/>
  <c r="N6" i="4"/>
  <c r="N6" i="7" s="1"/>
  <c r="H33" i="4"/>
  <c r="K13" i="4"/>
  <c r="K3" i="7"/>
  <c r="L3" i="4"/>
  <c r="L3" i="7" l="1"/>
  <c r="M3" i="4"/>
  <c r="H33" i="7"/>
  <c r="H34" i="8"/>
  <c r="O5" i="4"/>
  <c r="M8" i="4"/>
  <c r="M8" i="6" s="1"/>
  <c r="L8" i="7"/>
  <c r="Q27" i="4"/>
  <c r="R27" i="4"/>
  <c r="S27" i="4" s="1"/>
  <c r="J15" i="4"/>
  <c r="J4" i="7"/>
  <c r="K23" i="4"/>
  <c r="K16" i="4"/>
  <c r="O24" i="4"/>
  <c r="O20" i="4"/>
  <c r="L8" i="6"/>
  <c r="K19" i="4"/>
  <c r="Q18" i="4"/>
  <c r="M14" i="4"/>
  <c r="N14" i="4" s="1"/>
  <c r="J17" i="4"/>
  <c r="M8" i="7"/>
  <c r="O22" i="4"/>
  <c r="L7" i="6"/>
  <c r="M7" i="4"/>
  <c r="N7" i="4" s="1"/>
  <c r="M25" i="4"/>
  <c r="L13" i="4"/>
  <c r="J11" i="4"/>
  <c r="L7" i="7"/>
  <c r="J11" i="7"/>
  <c r="K9" i="4"/>
  <c r="N8" i="4"/>
  <c r="N5" i="7"/>
  <c r="U10" i="4"/>
  <c r="U10" i="7"/>
  <c r="V10" i="4"/>
  <c r="M21" i="4"/>
  <c r="O6" i="4"/>
  <c r="P20" i="4"/>
  <c r="Q20" i="4"/>
  <c r="H34" i="4"/>
  <c r="I26" i="4"/>
  <c r="N8" i="7"/>
  <c r="I12" i="4"/>
  <c r="K4" i="4"/>
  <c r="N3" i="4"/>
  <c r="N3" i="7"/>
  <c r="M3" i="7"/>
  <c r="K4" i="7" l="1"/>
  <c r="L4" i="4"/>
  <c r="R18" i="4"/>
  <c r="S18" i="4" s="1"/>
  <c r="T18" i="4"/>
  <c r="P5" i="4"/>
  <c r="O5" i="7"/>
  <c r="T27" i="4"/>
  <c r="U27" i="4"/>
  <c r="V27" i="4" s="1"/>
  <c r="W27" i="4" s="1"/>
  <c r="X27" i="4"/>
  <c r="Y27" i="4" s="1"/>
  <c r="Z27" i="4" s="1"/>
  <c r="AA27" i="4" s="1"/>
  <c r="AA27" i="7" s="1"/>
  <c r="L19" i="4"/>
  <c r="P6" i="4"/>
  <c r="V10" i="7"/>
  <c r="W10" i="4"/>
  <c r="X10" i="4" s="1"/>
  <c r="O7" i="4"/>
  <c r="J26" i="4"/>
  <c r="K26" i="4"/>
  <c r="P6" i="7"/>
  <c r="J11" i="6"/>
  <c r="J33" i="6" s="1"/>
  <c r="U18" i="4"/>
  <c r="V18" i="4" s="1"/>
  <c r="W18" i="4" s="1"/>
  <c r="X18" i="4" s="1"/>
  <c r="Y18" i="4" s="1"/>
  <c r="Y18" i="7" s="1"/>
  <c r="P22" i="4"/>
  <c r="Q6" i="4"/>
  <c r="Q6" i="7" s="1"/>
  <c r="S18" i="7"/>
  <c r="K15" i="4"/>
  <c r="M13" i="4"/>
  <c r="J12" i="4"/>
  <c r="K12" i="4"/>
  <c r="I33" i="4"/>
  <c r="L23" i="4"/>
  <c r="N21" i="4"/>
  <c r="L9" i="4"/>
  <c r="O21" i="4"/>
  <c r="P21" i="4" s="1"/>
  <c r="Q21" i="4" s="1"/>
  <c r="R21" i="4" s="1"/>
  <c r="K17" i="4"/>
  <c r="L17" i="4"/>
  <c r="L16" i="4"/>
  <c r="O6" i="7"/>
  <c r="M19" i="4"/>
  <c r="N19" i="4" s="1"/>
  <c r="O19" i="4" s="1"/>
  <c r="N8" i="6"/>
  <c r="O8" i="4"/>
  <c r="R20" i="4"/>
  <c r="S20" i="4"/>
  <c r="T20" i="4" s="1"/>
  <c r="U20" i="4" s="1"/>
  <c r="M17" i="4"/>
  <c r="O14" i="4"/>
  <c r="M7" i="6"/>
  <c r="M7" i="7"/>
  <c r="N7" i="7"/>
  <c r="T18" i="7"/>
  <c r="K11" i="4"/>
  <c r="P24" i="4"/>
  <c r="Q24" i="4" s="1"/>
  <c r="R24" i="4" s="1"/>
  <c r="S24" i="4" s="1"/>
  <c r="N25" i="4"/>
  <c r="O3" i="4"/>
  <c r="O3" i="7" s="1"/>
  <c r="P3" i="4"/>
  <c r="P3" i="7"/>
  <c r="I34" i="8" l="1"/>
  <c r="R6" i="4"/>
  <c r="S6" i="4" s="1"/>
  <c r="P5" i="7"/>
  <c r="Q5" i="4"/>
  <c r="Q5" i="7"/>
  <c r="L4" i="7"/>
  <c r="M4" i="4"/>
  <c r="W18" i="7"/>
  <c r="X10" i="7"/>
  <c r="Y10" i="4"/>
  <c r="Y10" i="7" s="1"/>
  <c r="T6" i="4"/>
  <c r="S6" i="7"/>
  <c r="O25" i="4"/>
  <c r="P25" i="4" s="1"/>
  <c r="Q25" i="4" s="1"/>
  <c r="R25" i="4" s="1"/>
  <c r="S25" i="4" s="1"/>
  <c r="T25" i="4" s="1"/>
  <c r="U25" i="4" s="1"/>
  <c r="V25" i="4" s="1"/>
  <c r="P7" i="4"/>
  <c r="O7" i="7"/>
  <c r="AB28" i="4"/>
  <c r="I33" i="7"/>
  <c r="N17" i="4"/>
  <c r="S21" i="4"/>
  <c r="M16" i="4"/>
  <c r="N16" i="4" s="1"/>
  <c r="O16" i="4" s="1"/>
  <c r="P16" i="4" s="1"/>
  <c r="Q16" i="4" s="1"/>
  <c r="V20" i="4"/>
  <c r="W20" i="4" s="1"/>
  <c r="R16" i="4"/>
  <c r="V18" i="7"/>
  <c r="K33" i="4"/>
  <c r="W10" i="7"/>
  <c r="P19" i="4"/>
  <c r="L15" i="4"/>
  <c r="M15" i="4"/>
  <c r="N15" i="4" s="1"/>
  <c r="O15" i="4" s="1"/>
  <c r="I34" i="4"/>
  <c r="L26" i="4"/>
  <c r="K11" i="6"/>
  <c r="K33" i="6" s="1"/>
  <c r="K11" i="7"/>
  <c r="Q22" i="4"/>
  <c r="R22" i="4" s="1"/>
  <c r="S22" i="4" s="1"/>
  <c r="T22" i="4" s="1"/>
  <c r="U22" i="4" s="1"/>
  <c r="V22" i="4" s="1"/>
  <c r="W22" i="4" s="1"/>
  <c r="X22" i="4" s="1"/>
  <c r="Y22" i="4" s="1"/>
  <c r="X22" i="7"/>
  <c r="R6" i="7"/>
  <c r="U18" i="7"/>
  <c r="X18" i="7"/>
  <c r="N17" i="7"/>
  <c r="L12" i="4"/>
  <c r="J33" i="4"/>
  <c r="T21" i="4"/>
  <c r="AB27" i="4"/>
  <c r="P14" i="4"/>
  <c r="Q14" i="4"/>
  <c r="M17" i="7"/>
  <c r="L11" i="4"/>
  <c r="L11" i="7" s="1"/>
  <c r="O8" i="6"/>
  <c r="O8" i="7"/>
  <c r="P8" i="4"/>
  <c r="Q16" i="7"/>
  <c r="M23" i="4"/>
  <c r="N13" i="4"/>
  <c r="T24" i="4"/>
  <c r="U24" i="4"/>
  <c r="U24" i="7" s="1"/>
  <c r="M9" i="4"/>
  <c r="Z18" i="4"/>
  <c r="Q3" i="4"/>
  <c r="R3" i="4" s="1"/>
  <c r="V24" i="4" l="1"/>
  <c r="N23" i="4"/>
  <c r="O23" i="4" s="1"/>
  <c r="P23" i="4"/>
  <c r="Q23" i="4"/>
  <c r="R23" i="4" s="1"/>
  <c r="S23" i="4"/>
  <c r="T23" i="4"/>
  <c r="Q14" i="6"/>
  <c r="R14" i="4"/>
  <c r="J34" i="8"/>
  <c r="K34" i="8"/>
  <c r="J34" i="4"/>
  <c r="P15" i="4"/>
  <c r="Q15" i="4"/>
  <c r="M4" i="7"/>
  <c r="N4" i="4"/>
  <c r="R5" i="4"/>
  <c r="S5" i="4"/>
  <c r="Z10" i="4"/>
  <c r="AA10" i="4" s="1"/>
  <c r="AB10" i="4" s="1"/>
  <c r="W20" i="7"/>
  <c r="X20" i="4"/>
  <c r="N13" i="6"/>
  <c r="N13" i="7"/>
  <c r="AA18" i="4"/>
  <c r="AA18" i="7" s="1"/>
  <c r="Z18" i="7"/>
  <c r="AB18" i="4"/>
  <c r="R14" i="6"/>
  <c r="R14" i="7"/>
  <c r="K34" i="4"/>
  <c r="R15" i="4"/>
  <c r="O13" i="4"/>
  <c r="L12" i="6"/>
  <c r="Y22" i="7"/>
  <c r="Z22" i="4"/>
  <c r="U21" i="4"/>
  <c r="V21" i="4" s="1"/>
  <c r="S16" i="4"/>
  <c r="R16" i="7"/>
  <c r="P7" i="7"/>
  <c r="Q7" i="4"/>
  <c r="O17" i="4"/>
  <c r="P17" i="4" s="1"/>
  <c r="Q19" i="4"/>
  <c r="P14" i="6"/>
  <c r="P14" i="7"/>
  <c r="L12" i="7"/>
  <c r="R19" i="4"/>
  <c r="K33" i="7"/>
  <c r="M12" i="4"/>
  <c r="J33" i="7"/>
  <c r="L11" i="6"/>
  <c r="M11" i="4"/>
  <c r="S14" i="4"/>
  <c r="L33" i="4"/>
  <c r="AB31" i="4"/>
  <c r="U23" i="4"/>
  <c r="V23" i="4" s="1"/>
  <c r="W23" i="4" s="1"/>
  <c r="X23" i="4" s="1"/>
  <c r="Y23" i="4" s="1"/>
  <c r="T6" i="7"/>
  <c r="U6" i="4"/>
  <c r="W24" i="4"/>
  <c r="V24" i="7"/>
  <c r="AB30" i="4"/>
  <c r="Q8" i="4"/>
  <c r="P8" i="7"/>
  <c r="M9" i="6"/>
  <c r="N9" i="4"/>
  <c r="M9" i="7"/>
  <c r="W25" i="4"/>
  <c r="X25" i="4" s="1"/>
  <c r="Y25" i="4" s="1"/>
  <c r="Z25" i="4" s="1"/>
  <c r="Q14" i="7"/>
  <c r="M26" i="4"/>
  <c r="S3" i="4"/>
  <c r="S3" i="7"/>
  <c r="Q3" i="7"/>
  <c r="R3" i="7"/>
  <c r="L34" i="8" l="1"/>
  <c r="L33" i="7"/>
  <c r="L34" i="4"/>
  <c r="T5" i="4"/>
  <c r="T5" i="7"/>
  <c r="S5" i="7"/>
  <c r="U5" i="4"/>
  <c r="U5" i="7"/>
  <c r="R5" i="7"/>
  <c r="O4" i="4"/>
  <c r="N4" i="7"/>
  <c r="O4" i="7"/>
  <c r="AA10" i="7"/>
  <c r="Z10" i="7"/>
  <c r="AB29" i="4"/>
  <c r="Y23" i="7"/>
  <c r="Z23" i="4"/>
  <c r="Z25" i="7"/>
  <c r="AA25" i="4"/>
  <c r="R7" i="4"/>
  <c r="Q7" i="7"/>
  <c r="X24" i="4"/>
  <c r="W24" i="7"/>
  <c r="U6" i="7"/>
  <c r="V6" i="4"/>
  <c r="S14" i="6"/>
  <c r="T14" i="4"/>
  <c r="S14" i="7"/>
  <c r="O13" i="6"/>
  <c r="P13" i="4"/>
  <c r="O13" i="7"/>
  <c r="M11" i="7"/>
  <c r="N11" i="4"/>
  <c r="N11" i="7" s="1"/>
  <c r="O11" i="4"/>
  <c r="S16" i="7"/>
  <c r="T16" i="4"/>
  <c r="L33" i="6"/>
  <c r="V21" i="7"/>
  <c r="W21" i="4"/>
  <c r="M33" i="4"/>
  <c r="O17" i="7"/>
  <c r="N9" i="6"/>
  <c r="O9" i="4"/>
  <c r="N9" i="7"/>
  <c r="M12" i="6"/>
  <c r="M33" i="6" s="1"/>
  <c r="N12" i="4"/>
  <c r="N12" i="6" s="1"/>
  <c r="X20" i="7"/>
  <c r="Y20" i="4"/>
  <c r="AB32" i="4"/>
  <c r="R15" i="6"/>
  <c r="R33" i="6" s="1"/>
  <c r="R15" i="7"/>
  <c r="S15" i="4"/>
  <c r="N26" i="4"/>
  <c r="O26" i="4" s="1"/>
  <c r="P26" i="4" s="1"/>
  <c r="Q26" i="4" s="1"/>
  <c r="R26" i="4" s="1"/>
  <c r="S26" i="4" s="1"/>
  <c r="T26" i="4" s="1"/>
  <c r="U26" i="4" s="1"/>
  <c r="V26" i="4" s="1"/>
  <c r="W26" i="4" s="1"/>
  <c r="X26" i="4" s="1"/>
  <c r="Y26" i="4" s="1"/>
  <c r="Z26" i="4" s="1"/>
  <c r="R8" i="4"/>
  <c r="Q8" i="7"/>
  <c r="Z22" i="7"/>
  <c r="AA22" i="4"/>
  <c r="S19" i="4"/>
  <c r="T19" i="4" s="1"/>
  <c r="U19" i="4" s="1"/>
  <c r="M12" i="7"/>
  <c r="P17" i="7"/>
  <c r="Q17" i="4"/>
  <c r="T3" i="4"/>
  <c r="M34" i="4" l="1"/>
  <c r="M34" i="8"/>
  <c r="P4" i="4"/>
  <c r="Q4" i="4"/>
  <c r="V5" i="4"/>
  <c r="W5" i="4"/>
  <c r="V5" i="7"/>
  <c r="X5" i="4"/>
  <c r="W5" i="7"/>
  <c r="P13" i="6"/>
  <c r="P13" i="7"/>
  <c r="Q13" i="4"/>
  <c r="R8" i="7"/>
  <c r="S8" i="4"/>
  <c r="Z20" i="4"/>
  <c r="Y20" i="7"/>
  <c r="N33" i="4"/>
  <c r="V6" i="7"/>
  <c r="W6" i="4"/>
  <c r="N33" i="6"/>
  <c r="P11" i="4"/>
  <c r="O11" i="7"/>
  <c r="U19" i="7"/>
  <c r="V19" i="4"/>
  <c r="M33" i="7"/>
  <c r="AA22" i="7"/>
  <c r="AB22" i="4"/>
  <c r="N12" i="7"/>
  <c r="X24" i="7"/>
  <c r="Y24" i="4"/>
  <c r="N34" i="4"/>
  <c r="W21" i="7"/>
  <c r="X21" i="4"/>
  <c r="R7" i="7"/>
  <c r="S7" i="4"/>
  <c r="O12" i="4"/>
  <c r="AB25" i="4"/>
  <c r="AA25" i="7"/>
  <c r="Z26" i="7"/>
  <c r="AA26" i="4"/>
  <c r="U14" i="4"/>
  <c r="T14" i="7"/>
  <c r="S15" i="6"/>
  <c r="S33" i="6" s="1"/>
  <c r="T15" i="4"/>
  <c r="S15" i="7"/>
  <c r="Z23" i="7"/>
  <c r="AA23" i="4"/>
  <c r="T16" i="7"/>
  <c r="U16" i="4"/>
  <c r="R17" i="4"/>
  <c r="Q17" i="7"/>
  <c r="O9" i="6"/>
  <c r="P9" i="4"/>
  <c r="O9" i="7"/>
  <c r="T3" i="7"/>
  <c r="U3" i="4"/>
  <c r="N34" i="8" l="1"/>
  <c r="X5" i="7"/>
  <c r="Y5" i="4"/>
  <c r="Q4" i="7"/>
  <c r="R4" i="4"/>
  <c r="P4" i="7"/>
  <c r="P11" i="7"/>
  <c r="Q11" i="4"/>
  <c r="T15" i="6"/>
  <c r="T33" i="6" s="1"/>
  <c r="U15" i="4"/>
  <c r="T15" i="7"/>
  <c r="Z24" i="4"/>
  <c r="Y24" i="7"/>
  <c r="W6" i="7"/>
  <c r="X6" i="4"/>
  <c r="R17" i="7"/>
  <c r="S17" i="4"/>
  <c r="Y21" i="4"/>
  <c r="X21" i="7"/>
  <c r="P9" i="6"/>
  <c r="P33" i="6" s="1"/>
  <c r="P9" i="7"/>
  <c r="Q9" i="4"/>
  <c r="V14" i="4"/>
  <c r="U14" i="7"/>
  <c r="AA26" i="7"/>
  <c r="AB26" i="4"/>
  <c r="AA20" i="4"/>
  <c r="Z20" i="7"/>
  <c r="V16" i="4"/>
  <c r="U16" i="7"/>
  <c r="S8" i="7"/>
  <c r="T8" i="4"/>
  <c r="AA23" i="7"/>
  <c r="AB23" i="4"/>
  <c r="O12" i="6"/>
  <c r="O33" i="6" s="1"/>
  <c r="P12" i="4"/>
  <c r="O12" i="7"/>
  <c r="N33" i="7"/>
  <c r="Q13" i="6"/>
  <c r="Q13" i="7"/>
  <c r="R13" i="4"/>
  <c r="S7" i="7"/>
  <c r="T7" i="4"/>
  <c r="V19" i="7"/>
  <c r="W19" i="4"/>
  <c r="O33" i="4"/>
  <c r="V3" i="4"/>
  <c r="U3" i="7"/>
  <c r="O33" i="7" l="1"/>
  <c r="O34" i="8"/>
  <c r="R4" i="7"/>
  <c r="S4" i="4"/>
  <c r="Y5" i="7"/>
  <c r="Z5" i="4"/>
  <c r="V14" i="7"/>
  <c r="W14" i="4"/>
  <c r="T17" i="4"/>
  <c r="S17" i="7"/>
  <c r="X6" i="7"/>
  <c r="Y6" i="4"/>
  <c r="X19" i="4"/>
  <c r="W19" i="7"/>
  <c r="U7" i="4"/>
  <c r="T7" i="7"/>
  <c r="Q9" i="6"/>
  <c r="Q33" i="6" s="1"/>
  <c r="Q9" i="7"/>
  <c r="R9" i="4"/>
  <c r="Z24" i="7"/>
  <c r="AA24" i="4"/>
  <c r="V16" i="7"/>
  <c r="W16" i="4"/>
  <c r="S13" i="4"/>
  <c r="R13" i="7"/>
  <c r="V15" i="4"/>
  <c r="U15" i="7"/>
  <c r="Z21" i="4"/>
  <c r="Y21" i="7"/>
  <c r="R11" i="4"/>
  <c r="Q11" i="7"/>
  <c r="Q12" i="4"/>
  <c r="Q33" i="4" s="1"/>
  <c r="P12" i="7"/>
  <c r="O34" i="4"/>
  <c r="U8" i="4"/>
  <c r="T8" i="7"/>
  <c r="P33" i="4"/>
  <c r="AA20" i="7"/>
  <c r="AB20" i="4"/>
  <c r="W3" i="4"/>
  <c r="V3" i="7"/>
  <c r="P34" i="8" l="1"/>
  <c r="Q34" i="8"/>
  <c r="Z5" i="7"/>
  <c r="AA5" i="4"/>
  <c r="S4" i="7"/>
  <c r="T4" i="4"/>
  <c r="S11" i="4"/>
  <c r="R11" i="7"/>
  <c r="AA21" i="4"/>
  <c r="Z21" i="7"/>
  <c r="V15" i="7"/>
  <c r="W15" i="4"/>
  <c r="Z6" i="4"/>
  <c r="Y6" i="7"/>
  <c r="U8" i="7"/>
  <c r="V8" i="4"/>
  <c r="S13" i="7"/>
  <c r="T13" i="4"/>
  <c r="P34" i="4"/>
  <c r="Q34" i="4" s="1"/>
  <c r="Q33" i="7"/>
  <c r="AA24" i="7"/>
  <c r="AB24" i="4"/>
  <c r="X14" i="4"/>
  <c r="W14" i="7"/>
  <c r="U7" i="7"/>
  <c r="V7" i="4"/>
  <c r="P33" i="7"/>
  <c r="Y19" i="4"/>
  <c r="X19" i="7"/>
  <c r="X16" i="4"/>
  <c r="W16" i="7"/>
  <c r="T17" i="7"/>
  <c r="U17" i="4"/>
  <c r="Q12" i="7"/>
  <c r="R12" i="4"/>
  <c r="S9" i="4"/>
  <c r="R9" i="7"/>
  <c r="R33" i="4"/>
  <c r="X3" i="4"/>
  <c r="W3" i="7"/>
  <c r="R34" i="8" l="1"/>
  <c r="R33" i="7"/>
  <c r="R34" i="4"/>
  <c r="T4" i="7"/>
  <c r="U4" i="4"/>
  <c r="AA5" i="7"/>
  <c r="AB5" i="4"/>
  <c r="U13" i="4"/>
  <c r="T13" i="7"/>
  <c r="W7" i="4"/>
  <c r="V7" i="7"/>
  <c r="T9" i="4"/>
  <c r="S9" i="7"/>
  <c r="AA6" i="4"/>
  <c r="Z6" i="7"/>
  <c r="R12" i="7"/>
  <c r="S12" i="4"/>
  <c r="X15" i="4"/>
  <c r="W15" i="7"/>
  <c r="U17" i="7"/>
  <c r="V17" i="4"/>
  <c r="AA21" i="7"/>
  <c r="AB21" i="4"/>
  <c r="S11" i="7"/>
  <c r="T11" i="4"/>
  <c r="Z19" i="4"/>
  <c r="Y19" i="7"/>
  <c r="V8" i="7"/>
  <c r="W8" i="4"/>
  <c r="X14" i="7"/>
  <c r="Y14" i="4"/>
  <c r="X16" i="7"/>
  <c r="Y16" i="4"/>
  <c r="Y3" i="4"/>
  <c r="X3" i="7"/>
  <c r="U4" i="7" l="1"/>
  <c r="V4" i="4"/>
  <c r="Y15" i="4"/>
  <c r="X15" i="7"/>
  <c r="T12" i="4"/>
  <c r="S12" i="7"/>
  <c r="X8" i="4"/>
  <c r="W8" i="7"/>
  <c r="AA6" i="7"/>
  <c r="AB6" i="4"/>
  <c r="S33" i="4"/>
  <c r="U9" i="4"/>
  <c r="T9" i="7"/>
  <c r="T33" i="4"/>
  <c r="Z16" i="4"/>
  <c r="Y16" i="7"/>
  <c r="W17" i="4"/>
  <c r="V17" i="7"/>
  <c r="Y14" i="7"/>
  <c r="Z14" i="4"/>
  <c r="Z19" i="7"/>
  <c r="AA19" i="4"/>
  <c r="T11" i="7"/>
  <c r="U11" i="4"/>
  <c r="X7" i="4"/>
  <c r="W7" i="7"/>
  <c r="U13" i="7"/>
  <c r="V13" i="4"/>
  <c r="Z3" i="4"/>
  <c r="Y3" i="7"/>
  <c r="S34" i="8" l="1"/>
  <c r="T34" i="8"/>
  <c r="V4" i="7"/>
  <c r="W4" i="4"/>
  <c r="Z16" i="7"/>
  <c r="AA16" i="4"/>
  <c r="Y7" i="4"/>
  <c r="X7" i="7"/>
  <c r="S33" i="7"/>
  <c r="S34" i="4"/>
  <c r="T34" i="4" s="1"/>
  <c r="T33" i="7"/>
  <c r="AA19" i="7"/>
  <c r="AB19" i="4"/>
  <c r="AA14" i="4"/>
  <c r="Z14" i="7"/>
  <c r="U12" i="4"/>
  <c r="T12" i="7"/>
  <c r="V13" i="7"/>
  <c r="W13" i="4"/>
  <c r="U9" i="7"/>
  <c r="V9" i="4"/>
  <c r="U33" i="4"/>
  <c r="U11" i="7"/>
  <c r="V11" i="4"/>
  <c r="Y8" i="4"/>
  <c r="X8" i="7"/>
  <c r="X17" i="4"/>
  <c r="W17" i="7"/>
  <c r="Z15" i="4"/>
  <c r="Y15" i="7"/>
  <c r="AA3" i="4"/>
  <c r="Z3" i="7"/>
  <c r="U34" i="8" l="1"/>
  <c r="U33" i="7"/>
  <c r="U34" i="4"/>
  <c r="W4" i="7"/>
  <c r="X4" i="4"/>
  <c r="AA14" i="7"/>
  <c r="AB14" i="4"/>
  <c r="W9" i="4"/>
  <c r="V9" i="7"/>
  <c r="AA16" i="7"/>
  <c r="AB16" i="4"/>
  <c r="V12" i="4"/>
  <c r="U12" i="7"/>
  <c r="Y17" i="4"/>
  <c r="X17" i="7"/>
  <c r="Z8" i="4"/>
  <c r="Y8" i="7"/>
  <c r="V11" i="7"/>
  <c r="W11" i="4"/>
  <c r="Z7" i="4"/>
  <c r="Y7" i="7"/>
  <c r="W13" i="7"/>
  <c r="X13" i="4"/>
  <c r="Z15" i="7"/>
  <c r="AA15" i="4"/>
  <c r="AB3" i="4"/>
  <c r="AA3" i="7"/>
  <c r="Y4" i="4" l="1"/>
  <c r="X4" i="7"/>
  <c r="Y17" i="7"/>
  <c r="Z17" i="4"/>
  <c r="W12" i="4"/>
  <c r="V12" i="7"/>
  <c r="Y13" i="4"/>
  <c r="X13" i="7"/>
  <c r="X9" i="4"/>
  <c r="W9" i="7"/>
  <c r="W11" i="7"/>
  <c r="X11" i="4"/>
  <c r="Z8" i="7"/>
  <c r="AA8" i="4"/>
  <c r="AA15" i="7"/>
  <c r="AB15" i="4"/>
  <c r="V33" i="4"/>
  <c r="AA7" i="4"/>
  <c r="Z7" i="7"/>
  <c r="V34" i="8" l="1"/>
  <c r="Z4" i="4"/>
  <c r="Y4" i="7"/>
  <c r="AA7" i="7"/>
  <c r="AB7" i="4"/>
  <c r="W12" i="7"/>
  <c r="X12" i="4"/>
  <c r="X33" i="4" s="1"/>
  <c r="V33" i="7"/>
  <c r="V34" i="4"/>
  <c r="AA8" i="7"/>
  <c r="AB8" i="4"/>
  <c r="AA17" i="4"/>
  <c r="Z17" i="7"/>
  <c r="X11" i="7"/>
  <c r="Y11" i="4"/>
  <c r="W33" i="4"/>
  <c r="Y9" i="4"/>
  <c r="X9" i="7"/>
  <c r="Z13" i="4"/>
  <c r="Y13" i="7"/>
  <c r="W33" i="7" l="1"/>
  <c r="W34" i="8"/>
  <c r="X34" i="8"/>
  <c r="X33" i="7"/>
  <c r="AA4" i="4"/>
  <c r="Z4" i="7"/>
  <c r="W34" i="4"/>
  <c r="X34" i="4"/>
  <c r="AA17" i="7"/>
  <c r="AB17" i="4"/>
  <c r="Z13" i="7"/>
  <c r="AA13" i="4"/>
  <c r="Y12" i="4"/>
  <c r="X12" i="7"/>
  <c r="Z9" i="4"/>
  <c r="Y9" i="7"/>
  <c r="Y33" i="4"/>
  <c r="Y11" i="7"/>
  <c r="Z11" i="4"/>
  <c r="Y33" i="7" l="1"/>
  <c r="Y34" i="8"/>
  <c r="AA4" i="7"/>
  <c r="AB4" i="4"/>
  <c r="Z11" i="7"/>
  <c r="AA11" i="4"/>
  <c r="AA9" i="4"/>
  <c r="Z9" i="7"/>
  <c r="Z12" i="4"/>
  <c r="Y12" i="7"/>
  <c r="Y34" i="4"/>
  <c r="AB13" i="4"/>
  <c r="AA13" i="7"/>
  <c r="AA12" i="4" l="1"/>
  <c r="Z12" i="7"/>
  <c r="Z33" i="4"/>
  <c r="AA9" i="7"/>
  <c r="AB9" i="4"/>
  <c r="AA33" i="4"/>
  <c r="AA33" i="7" s="1"/>
  <c r="AA11" i="7"/>
  <c r="AB11" i="4"/>
  <c r="Z33" i="7" l="1"/>
  <c r="Z34" i="8"/>
  <c r="AA34" i="8"/>
  <c r="AA12" i="7"/>
  <c r="AB12" i="4"/>
  <c r="AB33" i="4" s="1"/>
  <c r="Z34" i="4"/>
  <c r="AA34" i="4" s="1"/>
</calcChain>
</file>

<file path=xl/sharedStrings.xml><?xml version="1.0" encoding="utf-8"?>
<sst xmlns="http://schemas.openxmlformats.org/spreadsheetml/2006/main" count="301" uniqueCount="135">
  <si>
    <t>HƯỚNG DẪN SỬ DỤNG</t>
  </si>
  <si>
    <t>CÁCH SỬ DỤNG FILE EVM REPORT</t>
  </si>
  <si>
    <t>No.</t>
  </si>
  <si>
    <t>Bước</t>
  </si>
  <si>
    <t>Mô tả</t>
  </si>
  <si>
    <t>Bước 1: Nhập "Hạng mục công việc"</t>
  </si>
  <si>
    <r>
      <rPr>
        <sz val="11"/>
        <color rgb="FF000000"/>
        <rFont val="Calibri"/>
        <scheme val="minor"/>
      </rPr>
      <t xml:space="preserve">Vào sheet "PV (Kế hoạch)", nhập hạng mục công việc vào cột "Hạng mục công việc".
Nếu thiếu dòng thì chèn thêm dòng vào phía trên của dòng cuối cùng (dòng bôi xám) của cả 4 sheets "PV (Kế hoạch)", "EV (Tiến độ lũy kế)", "SPI", "EV (Hoàn thành thực tế)" và copy paste công thức của 1 dòng đã có vào các dòng mới. </t>
    </r>
    <r>
      <rPr>
        <sz val="11"/>
        <color rgb="FFFF0000"/>
        <rFont val="Calibri"/>
        <scheme val="minor"/>
      </rPr>
      <t>Chú ý chèn số lượng dòng và vị trí chèn dòng giống nhau cho cả 4 sheets.</t>
    </r>
  </si>
  <si>
    <t>Bước 2: Nhập PV (Planned Value)</t>
  </si>
  <si>
    <t>Vào sheet "PV (Kế hoạch)", nhập công số (man-day) kế hoạch/cho từng hạng mục/theo từng tuần (không lũy kế).</t>
  </si>
  <si>
    <t>Bước 3: Nhập EV (Earned Value)</t>
  </si>
  <si>
    <r>
      <rPr>
        <sz val="11"/>
        <color rgb="FF000000"/>
        <rFont val="Calibri"/>
        <scheme val="minor"/>
      </rPr>
      <t xml:space="preserve">Vào sheet "EV (Tiến độ lũy kế)", nhập Tiến độ thực tế lũy kế đến tuần tương ứng.
</t>
    </r>
    <r>
      <rPr>
        <sz val="11"/>
        <color rgb="FF002060"/>
        <rFont val="Calibri"/>
        <scheme val="minor"/>
      </rPr>
      <t>Công số thực tế (man-day) đã hoàn thành/cho từng hạng mục/theo từng tuần trong sheet "EV (Hoàn thành thực tế)" sẽ được tính tự động.</t>
    </r>
  </si>
  <si>
    <t>Bước 4: Nhập AC (Actual Cost)</t>
  </si>
  <si>
    <t>Vào sheet "AC (Chi phí)" và nhập chi phí thực tế (man-day) đã chi cho từng hạng mục theo từng tuần</t>
  </si>
  <si>
    <t>Bước 5: Xem CPI</t>
  </si>
  <si>
    <t>Sheet "CPI" tự động tính Cost Performance Index. Xanh = Tốt (CPI &gt; 1), Vàng = Xấu (0.85 &lt;= CPI &lt; 1), Đỏ = Rất xấu (CPI &lt; 0.85)</t>
  </si>
  <si>
    <t>Bước 6: Xem SPI</t>
  </si>
  <si>
    <t>Sheet "SPI" tự động tính Schedule Performance Index. Xanh = Tốt (SPI &gt; 1), Vàng = Xấu (0.85 &lt;= SPI &lt; 1), Đỏ = Rất xấu (SPI &lt; 0.85)</t>
  </si>
  <si>
    <t>ĐỊNH NGHĨA CÁC CHỈ SỐ</t>
  </si>
  <si>
    <t>Chỉ số</t>
  </si>
  <si>
    <t>Định nghĩa</t>
  </si>
  <si>
    <t>Công thức</t>
  </si>
  <si>
    <t>1</t>
  </si>
  <si>
    <t>PV</t>
  </si>
  <si>
    <t>Planned Value - Giá trị công việc kế hoạch</t>
  </si>
  <si>
    <t>Công số dự kiến theo kế hoạch</t>
  </si>
  <si>
    <t>2</t>
  </si>
  <si>
    <t>EV</t>
  </si>
  <si>
    <t>Earned Value - Giá trị công việc đạt được</t>
  </si>
  <si>
    <t>Công số thực tế đã hoàn thành</t>
  </si>
  <si>
    <t>3</t>
  </si>
  <si>
    <t>AC</t>
  </si>
  <si>
    <t>Actual Cost - Chi phí thực tế</t>
  </si>
  <si>
    <t>Công số thực tế đã chi</t>
  </si>
  <si>
    <t>4</t>
  </si>
  <si>
    <t>CPI</t>
  </si>
  <si>
    <t>Cost Performance Index - Chỉ số hiệu suất chi phí</t>
  </si>
  <si>
    <t>EV / AC</t>
  </si>
  <si>
    <t>5</t>
  </si>
  <si>
    <t>SPI</t>
  </si>
  <si>
    <t>Schedule Performance Index - Chỉ số hiệu suất tiến độ</t>
  </si>
  <si>
    <t>EV / PV</t>
  </si>
  <si>
    <t>6</t>
  </si>
  <si>
    <t>CV</t>
  </si>
  <si>
    <t>Cost Variance - Chênh lệch chi phí</t>
  </si>
  <si>
    <t>EV - AC</t>
  </si>
  <si>
    <t>7</t>
  </si>
  <si>
    <t>SV</t>
  </si>
  <si>
    <t>Schedule Variance - Chênh lệch tiến độ</t>
  </si>
  <si>
    <t>EV - PV</t>
  </si>
  <si>
    <t>QUY TẮC HIỂN THỊ MÀU</t>
  </si>
  <si>
    <t>Điều kiện</t>
  </si>
  <si>
    <t>Màu hiển thị</t>
  </si>
  <si>
    <t>Ý nghĩa</t>
  </si>
  <si>
    <t>Giá trị 1</t>
  </si>
  <si>
    <t>Giá trị 2</t>
  </si>
  <si>
    <t>CPI &gt; 1 hoặc SPI &gt; 1</t>
  </si>
  <si>
    <t>Xanh lá cây</t>
  </si>
  <si>
    <t>✅ Tốt</t>
  </si>
  <si>
    <t>CPI = 1 hoặc SPI = 1</t>
  </si>
  <si>
    <t>Trắng</t>
  </si>
  <si>
    <t>⚪ Bình thường</t>
  </si>
  <si>
    <t>0.85 &lt;= CPI &lt; 1 hoặc 0.85 &lt;= SPI &lt; 1</t>
  </si>
  <si>
    <t>Vàng</t>
  </si>
  <si>
    <t>❌ Xấu</t>
  </si>
  <si>
    <t>CPI &lt; 0.85 hoặc SPI &lt; 0.85</t>
  </si>
  <si>
    <t>Đỏ</t>
  </si>
  <si>
    <t>❌ Rất xấu</t>
  </si>
  <si>
    <t>ĐỐI TƯỢNG DỰ ÁN ÁP DỤNG</t>
  </si>
  <si>
    <t>Các dự án lớn (revenue &gt;= 200 JPY man), và làm production</t>
  </si>
  <si>
    <t>PV - PLANNED VALUE (CÔNG SỐ KẾ HOẠCH TỪNG TUẦN) (md)</t>
  </si>
  <si>
    <t>Hạng mục công việc</t>
  </si>
  <si>
    <t>Tuần 1
2/3/26</t>
  </si>
  <si>
    <t>Tuần 2</t>
  </si>
  <si>
    <t>Tuần 3</t>
  </si>
  <si>
    <t>Tuần 4</t>
  </si>
  <si>
    <t>Tuần 5</t>
  </si>
  <si>
    <t>Tuần 6</t>
  </si>
  <si>
    <t>Tuần 7</t>
  </si>
  <si>
    <t>Tuần 8</t>
  </si>
  <si>
    <t>Tuần 9</t>
  </si>
  <si>
    <t>Tuần 10</t>
  </si>
  <si>
    <t>Tuần 11</t>
  </si>
  <si>
    <t>Tuần 12</t>
  </si>
  <si>
    <t>Tuần 13</t>
  </si>
  <si>
    <t>Tuần 14</t>
  </si>
  <si>
    <t>Tuần 15</t>
  </si>
  <si>
    <t>Tuần 16</t>
  </si>
  <si>
    <t>Tuần 17</t>
  </si>
  <si>
    <t>Tuần 18</t>
  </si>
  <si>
    <t>Tuần 19</t>
  </si>
  <si>
    <t>Tuần 20</t>
  </si>
  <si>
    <t>Tuần 21</t>
  </si>
  <si>
    <t>Tuần 22</t>
  </si>
  <si>
    <t>Tuần 23</t>
  </si>
  <si>
    <t>Tuần 24</t>
  </si>
  <si>
    <t>Tổng</t>
  </si>
  <si>
    <t>Phân tích yêu cầu (Requirements Analysis)</t>
  </si>
  <si>
    <t>Thiết kế hệ thống (System Design)</t>
  </si>
  <si>
    <t>Thiết kế database (Database Design)</t>
  </si>
  <si>
    <t>Thiết kế UI/UX</t>
  </si>
  <si>
    <t>Phát triển Backend - Module User</t>
  </si>
  <si>
    <t>Phát triển Backend - Module Order</t>
  </si>
  <si>
    <t>Phát triển Backend - Module Payment</t>
  </si>
  <si>
    <t>Phát triển Backend - Module Report</t>
  </si>
  <si>
    <t>Phát triển Frontend - Trang chủ</t>
  </si>
  <si>
    <t>Phát triển Frontend - Module User</t>
  </si>
  <si>
    <t>Phát triển Frontend - Module Order</t>
  </si>
  <si>
    <t>Phát triển Frontend - Module Payment</t>
  </si>
  <si>
    <t>Phát triển Frontend - Module Report</t>
  </si>
  <si>
    <t>Tích hợp API bên thứ 3</t>
  </si>
  <si>
    <t>Unit Testing</t>
  </si>
  <si>
    <t>Integration Testing</t>
  </si>
  <si>
    <t>System Testing</t>
  </si>
  <si>
    <t>UAT (User Acceptance Testing)</t>
  </si>
  <si>
    <t>Bug fixing</t>
  </si>
  <si>
    <t>Performance Optimization</t>
  </si>
  <si>
    <t>Security Review</t>
  </si>
  <si>
    <t>Documentation</t>
  </si>
  <si>
    <t>Training</t>
  </si>
  <si>
    <t>Deployment</t>
  </si>
  <si>
    <t>Go-live Support</t>
  </si>
  <si>
    <t>Không chèn thêm dòng vào dưới dòng này</t>
  </si>
  <si>
    <t>TỔNG CỘNG TỪNG TUẦN</t>
  </si>
  <si>
    <t>TỔNG CỘNG LŨY KẾ</t>
  </si>
  <si>
    <t>EV - EARNED VALUE (TIẾN ĐỘ HOÀN THÀNH THỰC TẾ LŨY KẾ) (md)</t>
  </si>
  <si>
    <t>Tuần 1</t>
  </si>
  <si>
    <t>TIẾN ĐỘ TỔNG CỘNG LŨY KẾ</t>
  </si>
  <si>
    <t>SPI - SCHEDULE PERFORMANCE INDEX (CHỈ SỐ HIỆU SUẤT TIẾN ĐỘ)</t>
  </si>
  <si>
    <t>meet.google.com/wgq-kqad-utk</t>
  </si>
  <si>
    <t>TỔNG CỘNG</t>
  </si>
  <si>
    <t>EV - EARNED VALUE (CÔNG SỐ HOÀN THÀNH THỰC TẾ TỪNG TUẦN) (md)</t>
  </si>
  <si>
    <t>AC - ACTUAL COST (CHI PHÍ THỰC TẾ) (md)</t>
  </si>
  <si>
    <t>LŨY KẾ</t>
  </si>
  <si>
    <t>CPI - COST PERFORMANCE INDEX (CHỈ SỐ HIỆU SUẤT CHI PHÍ)</t>
  </si>
  <si>
    <t>TRUNG BÌNH TỔNG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</si>
</sst>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1"/>
      <color theme="1"/>
      <name val="Calibri"/>
      <scheme val="minor"/>
    </font>
    <font>
      <b/>
      <sz val="14"/>
      <color rgb="FFFFFFFF"/>
      <name val="Calibri"/>
      <family val="2"/>
    </font>
    <font>
      <b/>
      <sz val="12"/>
      <name val="Calibri"/>
      <family val="2"/>
    </font>
    <font>
      <b/>
      <sz val="11"/>
      <name val="Calibri"/>
      <family val="2"/>
    </font>
    <font>
      <b/>
      <sz val="10"/>
      <color rgb="FFFFFFFF"/>
      <name val="Calibri"/>
      <family val="2"/>
    </font>
    <font>
      <b/>
      <sz val="11"/>
      <color theme="1"/>
      <name val="Calibri"/>
      <family val="2"/>
      <scheme val="minor"/>
    </font>
    <font>
      <sz val="11"/>
      <color rgb="FF000000"/>
      <name val="Calibri"/>
      <scheme val="minor"/>
    </font>
    <font>
      <sz val="11"/>
      <color rgb="FF002060"/>
      <name val="Calibri"/>
      <scheme val="minor"/>
    </font>
    <font>
      <sz val="11"/>
      <color rgb="FFFF0000"/>
      <name val="Calibri"/>
      <scheme val="minor"/>
    </font>
    <font>
      <u/>
      <sz val="11"/>
      <color theme="10"/>
      <name val="Calibri"/>
      <family val="2"/>
      <scheme val="minor"/>
    </font>
  </fonts>
  <fills count="12">
    <fill>
      <patternFill patternType="none"/>
    </fill>
    <fill>
      <patternFill patternType="gray125"/>
    </fill>
    <fill>
      <patternFill patternType="solid">
        <fgColor rgb="FF2F5496"/>
      </patternFill>
    </fill>
    <fill>
      <patternFill patternType="solid">
        <fgColor rgb="FF4472C4"/>
      </patternFill>
    </fill>
    <fill>
      <patternFill patternType="solid">
        <fgColor rgb="FFDDEBF7"/>
      </patternFill>
    </fill>
    <fill>
      <patternFill patternType="solid">
        <fgColor rgb="FFFFEB9C"/>
      </patternFill>
    </fill>
    <fill>
      <patternFill patternType="solid">
        <fgColor rgb="FFF2F2F2"/>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theme="0" tint="-4.9989318521683403E-2"/>
        <bgColor indexed="64"/>
      </patternFill>
    </fill>
    <fill>
      <patternFill patternType="solid">
        <fgColor theme="0" tint="-0.14999847407452621"/>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10" fillId="0" borderId="0" applyNumberFormat="0" applyFill="0" applyBorder="0" applyAlignment="0" applyProtection="0"/>
  </cellStyleXfs>
  <cellXfs count="40">
    <xf numFmtId="0" fontId="0" fillId="0" borderId="0" xfId="0"/>
    <xf numFmtId="0" fontId="5" fillId="3"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xf numFmtId="0" fontId="0" fillId="6" borderId="1" xfId="0" applyFill="1" applyBorder="1" applyAlignment="1">
      <alignment horizontal="center" vertical="center" wrapText="1"/>
    </xf>
    <xf numFmtId="0" fontId="4" fillId="5" borderId="1" xfId="0" applyFont="1" applyFill="1" applyBorder="1"/>
    <xf numFmtId="0" fontId="4" fillId="5" borderId="1" xfId="0" applyFont="1" applyFill="1" applyBorder="1" applyAlignment="1">
      <alignment horizontal="center" vertical="center" wrapText="1"/>
    </xf>
    <xf numFmtId="0" fontId="4" fillId="4" borderId="1" xfId="0" applyFont="1" applyFill="1" applyBorder="1"/>
    <xf numFmtId="0" fontId="4" fillId="4" borderId="1" xfId="0" applyFont="1" applyFill="1" applyBorder="1" applyAlignment="1">
      <alignment horizontal="center" vertical="center" wrapText="1"/>
    </xf>
    <xf numFmtId="2" fontId="0" fillId="7" borderId="1" xfId="0" applyNumberFormat="1" applyFill="1" applyBorder="1" applyAlignment="1">
      <alignment vertical="center"/>
    </xf>
    <xf numFmtId="2" fontId="0" fillId="0" borderId="1" xfId="0" applyNumberFormat="1" applyBorder="1" applyAlignment="1">
      <alignment vertical="center"/>
    </xf>
    <xf numFmtId="2" fontId="0" fillId="8" borderId="1" xfId="0" applyNumberFormat="1" applyFill="1" applyBorder="1" applyAlignment="1">
      <alignment vertical="center"/>
    </xf>
    <xf numFmtId="2" fontId="0" fillId="9" borderId="1" xfId="0" applyNumberFormat="1" applyFill="1" applyBorder="1" applyAlignment="1">
      <alignment vertical="center"/>
    </xf>
    <xf numFmtId="0" fontId="6" fillId="0" borderId="1" xfId="0" applyFont="1" applyBorder="1" applyAlignment="1">
      <alignment horizontal="center" vertical="center" wrapText="1"/>
    </xf>
    <xf numFmtId="0" fontId="0" fillId="10" borderId="1" xfId="0" applyFill="1" applyBorder="1" applyAlignment="1">
      <alignment horizontal="center" vertical="center" wrapText="1"/>
    </xf>
    <xf numFmtId="0" fontId="0" fillId="10" borderId="1" xfId="0" applyFill="1" applyBorder="1" applyAlignment="1">
      <alignment horizontal="left" vertical="center" wrapText="1"/>
    </xf>
    <xf numFmtId="0" fontId="0" fillId="0" borderId="0" xfId="0" applyAlignment="1">
      <alignment vertical="center"/>
    </xf>
    <xf numFmtId="0" fontId="0" fillId="0" borderId="1" xfId="0" applyBorder="1" applyAlignment="1">
      <alignment vertical="center"/>
    </xf>
    <xf numFmtId="0" fontId="4" fillId="5" borderId="1" xfId="0" applyFont="1" applyFill="1" applyBorder="1" applyAlignment="1">
      <alignment vertical="center"/>
    </xf>
    <xf numFmtId="0" fontId="4" fillId="4" borderId="1" xfId="0" applyFont="1" applyFill="1" applyBorder="1" applyAlignment="1">
      <alignment vertical="center"/>
    </xf>
    <xf numFmtId="0" fontId="3" fillId="0" borderId="0" xfId="0" applyFont="1" applyAlignment="1">
      <alignment vertical="center"/>
    </xf>
    <xf numFmtId="0" fontId="0" fillId="7" borderId="1" xfId="0" applyFill="1" applyBorder="1" applyAlignment="1">
      <alignment vertical="center"/>
    </xf>
    <xf numFmtId="0" fontId="0" fillId="8" borderId="1" xfId="0" applyFill="1" applyBorder="1" applyAlignment="1">
      <alignment vertical="center"/>
    </xf>
    <xf numFmtId="0" fontId="0" fillId="9" borderId="1" xfId="0" applyFill="1" applyBorder="1" applyAlignment="1">
      <alignment vertical="center"/>
    </xf>
    <xf numFmtId="0" fontId="6" fillId="0" borderId="0" xfId="0" applyFont="1" applyAlignment="1">
      <alignment vertical="center"/>
    </xf>
    <xf numFmtId="0" fontId="4" fillId="0" borderId="1" xfId="0" applyFont="1" applyBorder="1" applyAlignment="1">
      <alignment vertical="center"/>
    </xf>
    <xf numFmtId="0" fontId="0" fillId="11" borderId="1" xfId="0" applyFill="1" applyBorder="1" applyAlignment="1">
      <alignment horizontal="center" vertical="center" wrapText="1"/>
    </xf>
    <xf numFmtId="0" fontId="0" fillId="11" borderId="1" xfId="0" applyFill="1" applyBorder="1" applyAlignment="1">
      <alignment horizontal="left" vertical="center" wrapText="1"/>
    </xf>
    <xf numFmtId="0" fontId="2" fillId="2" borderId="0" xfId="0" applyFont="1" applyFill="1" applyAlignment="1">
      <alignment horizontal="center" vertical="center" wrapText="1"/>
    </xf>
    <xf numFmtId="0" fontId="0" fillId="0" borderId="0" xfId="0" applyAlignment="1">
      <alignment vertical="center"/>
    </xf>
    <xf numFmtId="0" fontId="0" fillId="0" borderId="1" xfId="0" applyBorder="1" applyAlignment="1">
      <alignment horizontal="left" vertical="center" wrapText="1"/>
    </xf>
    <xf numFmtId="0" fontId="5" fillId="3" borderId="1" xfId="0" applyFont="1" applyFill="1" applyBorder="1" applyAlignment="1">
      <alignment horizontal="center" vertical="center" wrapText="1"/>
    </xf>
    <xf numFmtId="0" fontId="0" fillId="10" borderId="1" xfId="0" applyFill="1"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10" fillId="0" borderId="0" xfId="1"/>
    <xf numFmtId="0" fontId="1" fillId="0" borderId="2" xfId="0" applyFont="1" applyBorder="1" applyAlignment="1">
      <alignment horizontal="left" vertical="center" wrapText="1"/>
    </xf>
    <xf numFmtId="0" fontId="1" fillId="0" borderId="1" xfId="0" applyFont="1" applyBorder="1" applyAlignment="1">
      <alignment horizontal="left" vertical="center" wrapText="1"/>
    </xf>
    <xf numFmtId="0" fontId="0" fillId="0" borderId="0" xfId="0" applyAlignment="1"/>
  </cellXfs>
  <cellStyles count="2">
    <cellStyle name="Hyperlink" xfId="1" builtinId="8"/>
    <cellStyle name="Normal" xfId="0" builtinId="0"/>
  </cellStyles>
  <dxfs count="5">
    <dxf>
      <fill>
        <patternFill patternType="solid">
          <fgColor rgb="FFFFC7CE"/>
        </patternFill>
      </fill>
    </dxf>
    <dxf>
      <fill>
        <patternFill patternType="solid">
          <fgColor rgb="FFC6EFCE"/>
        </patternFill>
      </fill>
    </dxf>
    <dxf>
      <fill>
        <patternFill patternType="solid">
          <fgColor rgb="FFC6EFCE"/>
          <bgColor rgb="FFFF0000"/>
        </patternFill>
      </fill>
    </dxf>
    <dxf>
      <fill>
        <patternFill patternType="solid">
          <fgColor rgb="FFFFC7CE"/>
          <bgColor rgb="FFFFFF00"/>
        </patternFill>
      </fill>
    </dxf>
    <dxf>
      <fill>
        <patternFill patternType="solid">
          <fgColor rgb="FFC6EFCE"/>
          <bgColor rgb="FF92D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20</xdr:col>
      <xdr:colOff>0</xdr:colOff>
      <xdr:row>0</xdr:row>
      <xdr:rowOff>361950</xdr:rowOff>
    </xdr:from>
    <xdr:to>
      <xdr:col>20</xdr:col>
      <xdr:colOff>514350</xdr:colOff>
      <xdr:row>34</xdr:row>
      <xdr:rowOff>9525</xdr:rowOff>
    </xdr:to>
    <xdr:sp macro="" textlink="">
      <xdr:nvSpPr>
        <xdr:cNvPr id="3" name="Rectangle 2">
          <a:extLst>
            <a:ext uri="{FF2B5EF4-FFF2-40B4-BE49-F238E27FC236}">
              <a16:creationId xmlns:a16="http://schemas.microsoft.com/office/drawing/2014/main" id="{C7CCDEC4-D7D3-469E-AA3D-FAFCF3E3B154}"/>
            </a:ext>
          </a:extLst>
        </xdr:cNvPr>
        <xdr:cNvSpPr/>
      </xdr:nvSpPr>
      <xdr:spPr>
        <a:xfrm>
          <a:off x="12515850" y="361950"/>
          <a:ext cx="514350" cy="91440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19</xdr:col>
      <xdr:colOff>539751</xdr:colOff>
      <xdr:row>1</xdr:row>
      <xdr:rowOff>31750</xdr:rowOff>
    </xdr:from>
    <xdr:to>
      <xdr:col>21</xdr:col>
      <xdr:colOff>1</xdr:colOff>
      <xdr:row>34</xdr:row>
      <xdr:rowOff>0</xdr:rowOff>
    </xdr:to>
    <xdr:sp macro="" textlink="">
      <xdr:nvSpPr>
        <xdr:cNvPr id="2" name="Rectangle 1">
          <a:extLst>
            <a:ext uri="{FF2B5EF4-FFF2-40B4-BE49-F238E27FC236}">
              <a16:creationId xmlns:a16="http://schemas.microsoft.com/office/drawing/2014/main" id="{9A29D3A8-2C83-41F8-BDC7-C46857F868AA}"/>
            </a:ext>
          </a:extLst>
        </xdr:cNvPr>
        <xdr:cNvSpPr/>
      </xdr:nvSpPr>
      <xdr:spPr>
        <a:xfrm>
          <a:off x="13008842" y="412750"/>
          <a:ext cx="568614" cy="911225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19</xdr:col>
      <xdr:colOff>539750</xdr:colOff>
      <xdr:row>0</xdr:row>
      <xdr:rowOff>365126</xdr:rowOff>
    </xdr:from>
    <xdr:to>
      <xdr:col>21</xdr:col>
      <xdr:colOff>15875</xdr:colOff>
      <xdr:row>33</xdr:row>
      <xdr:rowOff>1</xdr:rowOff>
    </xdr:to>
    <xdr:sp macro="" textlink="">
      <xdr:nvSpPr>
        <xdr:cNvPr id="3" name="Rectangle 2">
          <a:extLst>
            <a:ext uri="{FF2B5EF4-FFF2-40B4-BE49-F238E27FC236}">
              <a16:creationId xmlns:a16="http://schemas.microsoft.com/office/drawing/2014/main" id="{8C8D1C57-095A-570D-D74B-9C378A871EEC}"/>
            </a:ext>
          </a:extLst>
        </xdr:cNvPr>
        <xdr:cNvSpPr/>
      </xdr:nvSpPr>
      <xdr:spPr>
        <a:xfrm>
          <a:off x="13008841" y="365126"/>
          <a:ext cx="584489" cy="8882784"/>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19</xdr:col>
      <xdr:colOff>539751</xdr:colOff>
      <xdr:row>1</xdr:row>
      <xdr:rowOff>31750</xdr:rowOff>
    </xdr:from>
    <xdr:to>
      <xdr:col>21</xdr:col>
      <xdr:colOff>1</xdr:colOff>
      <xdr:row>34</xdr:row>
      <xdr:rowOff>11545</xdr:rowOff>
    </xdr:to>
    <xdr:sp macro="" textlink="">
      <xdr:nvSpPr>
        <xdr:cNvPr id="7" name="Rectangle 6">
          <a:extLst>
            <a:ext uri="{FF2B5EF4-FFF2-40B4-BE49-F238E27FC236}">
              <a16:creationId xmlns:a16="http://schemas.microsoft.com/office/drawing/2014/main" id="{66D9D73A-70E7-4FA8-A1F7-26C8580E57F7}"/>
            </a:ext>
          </a:extLst>
        </xdr:cNvPr>
        <xdr:cNvSpPr/>
      </xdr:nvSpPr>
      <xdr:spPr>
        <a:xfrm>
          <a:off x="13008842" y="412750"/>
          <a:ext cx="568614" cy="912379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meet.google.com/wgq-kqad-utk?hs=224"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37"/>
  <sheetViews>
    <sheetView zoomScale="85" zoomScaleNormal="85" workbookViewId="0">
      <pane ySplit="1" topLeftCell="A2" activePane="bottomLeft" state="frozen"/>
      <selection pane="bottomLeft" activeCell="K4" sqref="K4"/>
    </sheetView>
  </sheetViews>
  <sheetFormatPr defaultColWidth="8.7109375" defaultRowHeight="14.45"/>
  <cols>
    <col min="1" max="1" width="0.7109375" style="17" customWidth="1"/>
    <col min="2" max="2" width="6" style="17" customWidth="1"/>
    <col min="3" max="3" width="31.28515625" style="17" customWidth="1"/>
    <col min="4" max="4" width="50" style="17" customWidth="1"/>
    <col min="5" max="5" width="30" style="17" customWidth="1"/>
    <col min="6" max="16384" width="8.7109375" style="17"/>
  </cols>
  <sheetData>
    <row r="1" spans="2:7" ht="30" customHeight="1">
      <c r="B1" s="29" t="s">
        <v>0</v>
      </c>
      <c r="C1" s="29"/>
      <c r="D1" s="29"/>
      <c r="E1" s="29"/>
      <c r="F1" s="29"/>
      <c r="G1" s="29"/>
    </row>
    <row r="2" spans="2:7" ht="21.95" customHeight="1">
      <c r="B2" s="21" t="s">
        <v>1</v>
      </c>
    </row>
    <row r="3" spans="2:7" ht="21.95" customHeight="1">
      <c r="B3" s="1" t="s">
        <v>2</v>
      </c>
      <c r="C3" s="1" t="s">
        <v>3</v>
      </c>
      <c r="D3" s="32" t="s">
        <v>4</v>
      </c>
      <c r="E3" s="32"/>
      <c r="F3" s="32"/>
      <c r="G3" s="32"/>
    </row>
    <row r="4" spans="2:7" ht="63.75" customHeight="1">
      <c r="B4" s="2">
        <v>1</v>
      </c>
      <c r="C4" s="3" t="s">
        <v>5</v>
      </c>
      <c r="D4" s="37" t="s">
        <v>6</v>
      </c>
      <c r="E4" s="34"/>
      <c r="F4" s="34"/>
      <c r="G4" s="35"/>
    </row>
    <row r="5" spans="2:7" ht="32.1" customHeight="1">
      <c r="B5" s="2">
        <v>2</v>
      </c>
      <c r="C5" s="3" t="s">
        <v>7</v>
      </c>
      <c r="D5" s="31" t="s">
        <v>8</v>
      </c>
      <c r="E5" s="31"/>
      <c r="F5" s="31"/>
      <c r="G5" s="31"/>
    </row>
    <row r="6" spans="2:7" ht="61.5" customHeight="1">
      <c r="B6" s="2">
        <v>3</v>
      </c>
      <c r="C6" s="3" t="s">
        <v>9</v>
      </c>
      <c r="D6" s="38" t="s">
        <v>10</v>
      </c>
      <c r="E6" s="31"/>
      <c r="F6" s="31"/>
      <c r="G6" s="31"/>
    </row>
    <row r="7" spans="2:7" ht="32.1" customHeight="1">
      <c r="B7" s="15">
        <v>4</v>
      </c>
      <c r="C7" s="16" t="s">
        <v>11</v>
      </c>
      <c r="D7" s="33" t="s">
        <v>12</v>
      </c>
      <c r="E7" s="33"/>
      <c r="F7" s="33"/>
      <c r="G7" s="33"/>
    </row>
    <row r="8" spans="2:7" ht="32.1" customHeight="1">
      <c r="B8" s="15">
        <v>5</v>
      </c>
      <c r="C8" s="16" t="s">
        <v>13</v>
      </c>
      <c r="D8" s="33" t="s">
        <v>14</v>
      </c>
      <c r="E8" s="33"/>
      <c r="F8" s="33"/>
      <c r="G8" s="33"/>
    </row>
    <row r="9" spans="2:7" ht="32.1" customHeight="1">
      <c r="B9" s="2">
        <v>6</v>
      </c>
      <c r="C9" s="3" t="s">
        <v>15</v>
      </c>
      <c r="D9" s="31" t="s">
        <v>16</v>
      </c>
      <c r="E9" s="31"/>
      <c r="F9" s="31"/>
      <c r="G9" s="31"/>
    </row>
    <row r="10" spans="2:7" ht="21.95" customHeight="1"/>
    <row r="11" spans="2:7" ht="21.95" customHeight="1">
      <c r="B11" s="21" t="s">
        <v>17</v>
      </c>
    </row>
    <row r="12" spans="2:7" ht="21.95" customHeight="1">
      <c r="B12" s="1" t="s">
        <v>2</v>
      </c>
      <c r="C12" s="1" t="s">
        <v>18</v>
      </c>
      <c r="D12" s="1" t="s">
        <v>19</v>
      </c>
      <c r="E12" s="32" t="s">
        <v>20</v>
      </c>
      <c r="F12" s="32"/>
      <c r="G12" s="32"/>
    </row>
    <row r="13" spans="2:7" ht="21.95" customHeight="1">
      <c r="B13" s="2" t="s">
        <v>21</v>
      </c>
      <c r="C13" s="3" t="s">
        <v>22</v>
      </c>
      <c r="D13" s="3" t="s">
        <v>23</v>
      </c>
      <c r="E13" s="31" t="s">
        <v>24</v>
      </c>
      <c r="F13" s="31"/>
      <c r="G13" s="31"/>
    </row>
    <row r="14" spans="2:7" ht="21.95" customHeight="1">
      <c r="B14" s="2" t="s">
        <v>25</v>
      </c>
      <c r="C14" s="3" t="s">
        <v>26</v>
      </c>
      <c r="D14" s="3" t="s">
        <v>27</v>
      </c>
      <c r="E14" s="31" t="s">
        <v>28</v>
      </c>
      <c r="F14" s="31"/>
      <c r="G14" s="31"/>
    </row>
    <row r="15" spans="2:7" ht="21.95" customHeight="1">
      <c r="B15" s="2" t="s">
        <v>29</v>
      </c>
      <c r="C15" s="3" t="s">
        <v>30</v>
      </c>
      <c r="D15" s="3" t="s">
        <v>31</v>
      </c>
      <c r="E15" s="31" t="s">
        <v>32</v>
      </c>
      <c r="F15" s="31"/>
      <c r="G15" s="31"/>
    </row>
    <row r="16" spans="2:7" ht="21.95" customHeight="1">
      <c r="B16" s="2" t="s">
        <v>33</v>
      </c>
      <c r="C16" s="3" t="s">
        <v>34</v>
      </c>
      <c r="D16" s="3" t="s">
        <v>35</v>
      </c>
      <c r="E16" s="31" t="s">
        <v>36</v>
      </c>
      <c r="F16" s="31"/>
      <c r="G16" s="31"/>
    </row>
    <row r="17" spans="2:7" ht="21.95" customHeight="1">
      <c r="B17" s="2" t="s">
        <v>37</v>
      </c>
      <c r="C17" s="3" t="s">
        <v>38</v>
      </c>
      <c r="D17" s="3" t="s">
        <v>39</v>
      </c>
      <c r="E17" s="31" t="s">
        <v>40</v>
      </c>
      <c r="F17" s="31"/>
      <c r="G17" s="31"/>
    </row>
    <row r="18" spans="2:7" ht="21.95" customHeight="1">
      <c r="B18" s="2" t="s">
        <v>41</v>
      </c>
      <c r="C18" s="3" t="s">
        <v>42</v>
      </c>
      <c r="D18" s="3" t="s">
        <v>43</v>
      </c>
      <c r="E18" s="31" t="s">
        <v>44</v>
      </c>
      <c r="F18" s="31"/>
      <c r="G18" s="31"/>
    </row>
    <row r="19" spans="2:7" ht="21.95" customHeight="1">
      <c r="B19" s="2" t="s">
        <v>45</v>
      </c>
      <c r="C19" s="3" t="s">
        <v>46</v>
      </c>
      <c r="D19" s="3" t="s">
        <v>47</v>
      </c>
      <c r="E19" s="31" t="s">
        <v>48</v>
      </c>
      <c r="F19" s="31"/>
      <c r="G19" s="31"/>
    </row>
    <row r="20" spans="2:7" ht="21.95" customHeight="1"/>
    <row r="21" spans="2:7" ht="21.95" customHeight="1">
      <c r="B21" s="21" t="s">
        <v>49</v>
      </c>
    </row>
    <row r="22" spans="2:7" ht="21.95" customHeight="1">
      <c r="B22" s="1" t="s">
        <v>2</v>
      </c>
      <c r="C22" s="1" t="s">
        <v>50</v>
      </c>
      <c r="D22" s="1" t="s">
        <v>51</v>
      </c>
      <c r="E22" s="1" t="s">
        <v>52</v>
      </c>
      <c r="F22" s="1" t="s">
        <v>53</v>
      </c>
      <c r="G22" s="1" t="s">
        <v>54</v>
      </c>
    </row>
    <row r="23" spans="2:7" ht="21.95" customHeight="1">
      <c r="B23" s="2" t="s">
        <v>21</v>
      </c>
      <c r="C23" s="22" t="s">
        <v>55</v>
      </c>
      <c r="D23" s="22" t="s">
        <v>56</v>
      </c>
      <c r="E23" s="22" t="s">
        <v>57</v>
      </c>
      <c r="F23" s="10">
        <v>1</v>
      </c>
      <c r="G23" s="10"/>
    </row>
    <row r="24" spans="2:7" ht="21.95" customHeight="1">
      <c r="B24" s="2" t="s">
        <v>25</v>
      </c>
      <c r="C24" s="18" t="s">
        <v>58</v>
      </c>
      <c r="D24" s="18" t="s">
        <v>59</v>
      </c>
      <c r="E24" s="18" t="s">
        <v>60</v>
      </c>
      <c r="F24" s="11">
        <v>1</v>
      </c>
      <c r="G24" s="11"/>
    </row>
    <row r="25" spans="2:7" ht="21.95" customHeight="1">
      <c r="B25" s="2" t="s">
        <v>29</v>
      </c>
      <c r="C25" s="23" t="s">
        <v>61</v>
      </c>
      <c r="D25" s="23" t="s">
        <v>62</v>
      </c>
      <c r="E25" s="23" t="s">
        <v>63</v>
      </c>
      <c r="F25" s="12">
        <v>0.85</v>
      </c>
      <c r="G25" s="12">
        <v>1</v>
      </c>
    </row>
    <row r="26" spans="2:7" ht="21.95" customHeight="1">
      <c r="B26" s="2" t="s">
        <v>33</v>
      </c>
      <c r="C26" s="24" t="s">
        <v>64</v>
      </c>
      <c r="D26" s="24" t="s">
        <v>65</v>
      </c>
      <c r="E26" s="24" t="s">
        <v>66</v>
      </c>
      <c r="F26" s="13">
        <v>0.85</v>
      </c>
      <c r="G26" s="13"/>
    </row>
    <row r="27" spans="2:7" ht="21.95" customHeight="1"/>
    <row r="28" spans="2:7" s="25" customFormat="1" ht="21.95" customHeight="1">
      <c r="B28" s="25" t="s">
        <v>67</v>
      </c>
    </row>
    <row r="29" spans="2:7" ht="21.95" customHeight="1">
      <c r="B29" s="17" t="s">
        <v>68</v>
      </c>
    </row>
    <row r="30" spans="2:7" ht="21.95" customHeight="1"/>
    <row r="31" spans="2:7" ht="21.95" customHeight="1"/>
    <row r="32" spans="2:7" ht="21.95" customHeight="1"/>
    <row r="33" ht="21.95" customHeight="1"/>
    <row r="34" ht="21.95" customHeight="1"/>
    <row r="35" ht="21.95" customHeight="1"/>
    <row r="36" ht="21.95" customHeight="1"/>
    <row r="37" ht="21.95" customHeight="1"/>
  </sheetData>
  <mergeCells count="16">
    <mergeCell ref="D8:G8"/>
    <mergeCell ref="D9:G9"/>
    <mergeCell ref="B1:G1"/>
    <mergeCell ref="D3:G3"/>
    <mergeCell ref="D4:G4"/>
    <mergeCell ref="D6:G6"/>
    <mergeCell ref="D7:G7"/>
    <mergeCell ref="D5:G5"/>
    <mergeCell ref="E17:G17"/>
    <mergeCell ref="E18:G18"/>
    <mergeCell ref="E19:G19"/>
    <mergeCell ref="E12:G12"/>
    <mergeCell ref="E13:G13"/>
    <mergeCell ref="E14:G14"/>
    <mergeCell ref="E15:G15"/>
    <mergeCell ref="E16:G1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B1:AB39"/>
  <sheetViews>
    <sheetView zoomScale="70" zoomScaleNormal="70" workbookViewId="0">
      <pane xSplit="3" ySplit="2" topLeftCell="D3" activePane="bottomRight" state="frozen"/>
      <selection pane="bottomRight" activeCell="R11" sqref="R11"/>
      <selection pane="bottomLeft" activeCell="F21" sqref="F21"/>
      <selection pane="topRight" activeCell="F21" sqref="F21"/>
    </sheetView>
  </sheetViews>
  <sheetFormatPr defaultColWidth="8.7109375" defaultRowHeight="15" customHeight="1"/>
  <cols>
    <col min="1" max="1" width="0.7109375" style="17" customWidth="1"/>
    <col min="2" max="2" width="6" style="17" customWidth="1"/>
    <col min="3" max="3" width="45" style="17" customWidth="1"/>
    <col min="4" max="28" width="8" style="17" customWidth="1"/>
    <col min="29" max="16384" width="8.7109375" style="17"/>
  </cols>
  <sheetData>
    <row r="1" spans="2:28" ht="30" customHeight="1">
      <c r="B1" s="29" t="s">
        <v>69</v>
      </c>
      <c r="C1" s="30"/>
      <c r="D1" s="30"/>
      <c r="E1" s="30"/>
      <c r="F1" s="30"/>
      <c r="G1" s="30"/>
      <c r="H1" s="30"/>
      <c r="I1" s="30"/>
      <c r="J1" s="30"/>
      <c r="K1" s="30"/>
      <c r="L1" s="30"/>
      <c r="M1" s="30"/>
      <c r="N1" s="30"/>
      <c r="O1" s="30"/>
      <c r="P1" s="30"/>
      <c r="Q1" s="30"/>
      <c r="R1" s="30"/>
      <c r="S1" s="30"/>
      <c r="T1" s="30"/>
      <c r="U1" s="30"/>
      <c r="V1" s="30"/>
      <c r="W1" s="30"/>
      <c r="X1" s="30"/>
      <c r="Y1" s="30"/>
      <c r="Z1" s="30"/>
      <c r="AA1" s="30"/>
      <c r="AB1" s="30"/>
    </row>
    <row r="2" spans="2:28" ht="21.95" customHeight="1">
      <c r="B2" s="1" t="s">
        <v>2</v>
      </c>
      <c r="C2" s="1" t="s">
        <v>70</v>
      </c>
      <c r="D2" s="1" t="s">
        <v>71</v>
      </c>
      <c r="E2" s="1" t="s">
        <v>72</v>
      </c>
      <c r="F2" s="1" t="s">
        <v>73</v>
      </c>
      <c r="G2" s="1" t="s">
        <v>74</v>
      </c>
      <c r="H2" s="1" t="s">
        <v>75</v>
      </c>
      <c r="I2" s="1" t="s">
        <v>76</v>
      </c>
      <c r="J2" s="1" t="s">
        <v>77</v>
      </c>
      <c r="K2" s="1" t="s">
        <v>78</v>
      </c>
      <c r="L2" s="1" t="s">
        <v>79</v>
      </c>
      <c r="M2" s="1" t="s">
        <v>80</v>
      </c>
      <c r="N2" s="1" t="s">
        <v>81</v>
      </c>
      <c r="O2" s="1" t="s">
        <v>82</v>
      </c>
      <c r="P2" s="1" t="s">
        <v>83</v>
      </c>
      <c r="Q2" s="1" t="s">
        <v>84</v>
      </c>
      <c r="R2" s="1" t="s">
        <v>85</v>
      </c>
      <c r="S2" s="1" t="s">
        <v>86</v>
      </c>
      <c r="T2" s="1" t="s">
        <v>87</v>
      </c>
      <c r="U2" s="1" t="s">
        <v>88</v>
      </c>
      <c r="V2" s="1" t="s">
        <v>89</v>
      </c>
      <c r="W2" s="1" t="s">
        <v>90</v>
      </c>
      <c r="X2" s="1" t="s">
        <v>91</v>
      </c>
      <c r="Y2" s="1" t="s">
        <v>92</v>
      </c>
      <c r="Z2" s="1" t="s">
        <v>93</v>
      </c>
      <c r="AA2" s="1" t="s">
        <v>94</v>
      </c>
      <c r="AB2" s="1" t="s">
        <v>95</v>
      </c>
    </row>
    <row r="3" spans="2:28" ht="21.95" customHeight="1">
      <c r="B3" s="2">
        <f>ROW()-2</f>
        <v>1</v>
      </c>
      <c r="C3" s="3" t="s">
        <v>96</v>
      </c>
      <c r="D3" s="2">
        <v>5</v>
      </c>
      <c r="E3" s="2">
        <v>5</v>
      </c>
      <c r="F3" s="2">
        <v>3</v>
      </c>
      <c r="G3" s="2"/>
      <c r="H3" s="2"/>
      <c r="I3" s="2"/>
      <c r="J3" s="2"/>
      <c r="K3" s="2"/>
      <c r="L3" s="2"/>
      <c r="M3" s="2"/>
      <c r="N3" s="2"/>
      <c r="O3" s="2"/>
      <c r="P3" s="2"/>
      <c r="Q3" s="2"/>
      <c r="R3" s="2"/>
      <c r="S3" s="2"/>
      <c r="T3" s="2"/>
      <c r="U3" s="2"/>
      <c r="V3" s="2"/>
      <c r="W3" s="2"/>
      <c r="X3" s="2"/>
      <c r="Y3" s="2"/>
      <c r="Z3" s="2"/>
      <c r="AA3" s="2"/>
      <c r="AB3" s="5">
        <f t="shared" ref="AB3:AB32" si="0">SUM(D3:AA3)</f>
        <v>13</v>
      </c>
    </row>
    <row r="4" spans="2:28" ht="21.95" customHeight="1">
      <c r="B4" s="2">
        <f t="shared" ref="B4:B32" si="1">ROW()-2</f>
        <v>2</v>
      </c>
      <c r="C4" s="3" t="s">
        <v>97</v>
      </c>
      <c r="D4" s="2"/>
      <c r="E4" s="2"/>
      <c r="F4" s="2">
        <v>3</v>
      </c>
      <c r="G4" s="2">
        <v>5</v>
      </c>
      <c r="H4" s="2">
        <v>5</v>
      </c>
      <c r="I4" s="2">
        <v>2</v>
      </c>
      <c r="J4" s="2"/>
      <c r="K4" s="2"/>
      <c r="L4" s="2"/>
      <c r="M4" s="2"/>
      <c r="N4" s="2"/>
      <c r="O4" s="2"/>
      <c r="P4" s="2"/>
      <c r="Q4" s="2"/>
      <c r="R4" s="2"/>
      <c r="S4" s="2"/>
      <c r="T4" s="2"/>
      <c r="U4" s="2"/>
      <c r="V4" s="2"/>
      <c r="W4" s="2"/>
      <c r="X4" s="2"/>
      <c r="Y4" s="2"/>
      <c r="Z4" s="2"/>
      <c r="AA4" s="2"/>
      <c r="AB4" s="5">
        <f t="shared" si="0"/>
        <v>15</v>
      </c>
    </row>
    <row r="5" spans="2:28" ht="21.95" customHeight="1">
      <c r="B5" s="2">
        <f t="shared" si="1"/>
        <v>3</v>
      </c>
      <c r="C5" s="3" t="s">
        <v>98</v>
      </c>
      <c r="D5" s="2"/>
      <c r="E5" s="2"/>
      <c r="F5" s="2"/>
      <c r="G5" s="2">
        <v>2</v>
      </c>
      <c r="H5" s="2">
        <v>3</v>
      </c>
      <c r="I5" s="2">
        <v>3</v>
      </c>
      <c r="J5" s="2"/>
      <c r="K5" s="2"/>
      <c r="L5" s="2"/>
      <c r="M5" s="2"/>
      <c r="N5" s="2"/>
      <c r="O5" s="2"/>
      <c r="P5" s="2"/>
      <c r="Q5" s="2"/>
      <c r="R5" s="2"/>
      <c r="S5" s="2"/>
      <c r="T5" s="2"/>
      <c r="U5" s="2"/>
      <c r="V5" s="2"/>
      <c r="W5" s="2"/>
      <c r="X5" s="2"/>
      <c r="Y5" s="2"/>
      <c r="Z5" s="2"/>
      <c r="AA5" s="2"/>
      <c r="AB5" s="5">
        <f t="shared" si="0"/>
        <v>8</v>
      </c>
    </row>
    <row r="6" spans="2:28" ht="21.95" customHeight="1">
      <c r="B6" s="2">
        <f t="shared" si="1"/>
        <v>4</v>
      </c>
      <c r="C6" s="3" t="s">
        <v>99</v>
      </c>
      <c r="D6" s="2"/>
      <c r="E6" s="2"/>
      <c r="F6" s="2"/>
      <c r="G6" s="2">
        <v>2</v>
      </c>
      <c r="H6" s="2">
        <v>3</v>
      </c>
      <c r="I6" s="2">
        <v>3</v>
      </c>
      <c r="J6" s="2">
        <v>2</v>
      </c>
      <c r="K6" s="2"/>
      <c r="L6" s="2"/>
      <c r="M6" s="2"/>
      <c r="N6" s="2"/>
      <c r="O6" s="2"/>
      <c r="P6" s="2"/>
      <c r="Q6" s="2"/>
      <c r="R6" s="2"/>
      <c r="S6" s="2"/>
      <c r="T6" s="2"/>
      <c r="U6" s="2"/>
      <c r="V6" s="2"/>
      <c r="W6" s="2"/>
      <c r="X6" s="2"/>
      <c r="Y6" s="2"/>
      <c r="Z6" s="2"/>
      <c r="AA6" s="2"/>
      <c r="AB6" s="5">
        <f t="shared" si="0"/>
        <v>10</v>
      </c>
    </row>
    <row r="7" spans="2:28" ht="21.95" customHeight="1">
      <c r="B7" s="2">
        <f t="shared" si="1"/>
        <v>5</v>
      </c>
      <c r="C7" s="3" t="s">
        <v>100</v>
      </c>
      <c r="D7" s="2"/>
      <c r="E7" s="2"/>
      <c r="F7" s="2"/>
      <c r="G7" s="2"/>
      <c r="H7" s="2"/>
      <c r="I7" s="2">
        <v>2</v>
      </c>
      <c r="J7" s="2">
        <v>5</v>
      </c>
      <c r="K7" s="2">
        <v>5</v>
      </c>
      <c r="L7" s="2">
        <v>5</v>
      </c>
      <c r="M7" s="2">
        <v>3</v>
      </c>
      <c r="N7" s="2"/>
      <c r="O7" s="2"/>
      <c r="P7" s="2"/>
      <c r="Q7" s="2"/>
      <c r="R7" s="2"/>
      <c r="S7" s="2"/>
      <c r="T7" s="2"/>
      <c r="U7" s="2"/>
      <c r="V7" s="2"/>
      <c r="W7" s="2"/>
      <c r="X7" s="2"/>
      <c r="Y7" s="2"/>
      <c r="Z7" s="2"/>
      <c r="AA7" s="2"/>
      <c r="AB7" s="5">
        <f t="shared" si="0"/>
        <v>20</v>
      </c>
    </row>
    <row r="8" spans="2:28" ht="21.95" customHeight="1">
      <c r="B8" s="2">
        <f t="shared" si="1"/>
        <v>6</v>
      </c>
      <c r="C8" s="3" t="s">
        <v>101</v>
      </c>
      <c r="D8" s="2"/>
      <c r="E8" s="2"/>
      <c r="F8" s="2"/>
      <c r="G8" s="2"/>
      <c r="H8" s="2"/>
      <c r="I8" s="2"/>
      <c r="J8" s="2"/>
      <c r="K8" s="2">
        <v>2</v>
      </c>
      <c r="L8" s="2">
        <v>5</v>
      </c>
      <c r="M8" s="2">
        <v>5</v>
      </c>
      <c r="N8" s="2">
        <v>5</v>
      </c>
      <c r="O8" s="2">
        <v>3</v>
      </c>
      <c r="P8" s="2"/>
      <c r="Q8" s="2"/>
      <c r="R8" s="2"/>
      <c r="S8" s="2"/>
      <c r="T8" s="2"/>
      <c r="U8" s="2"/>
      <c r="V8" s="2"/>
      <c r="W8" s="2"/>
      <c r="X8" s="2"/>
      <c r="Y8" s="2"/>
      <c r="Z8" s="2"/>
      <c r="AA8" s="2"/>
      <c r="AB8" s="5">
        <f t="shared" si="0"/>
        <v>20</v>
      </c>
    </row>
    <row r="9" spans="2:28" ht="21.95" customHeight="1">
      <c r="B9" s="2">
        <f t="shared" si="1"/>
        <v>7</v>
      </c>
      <c r="C9" s="3" t="s">
        <v>102</v>
      </c>
      <c r="D9" s="2"/>
      <c r="E9" s="2"/>
      <c r="F9" s="2"/>
      <c r="G9" s="2"/>
      <c r="H9" s="2"/>
      <c r="I9" s="2"/>
      <c r="J9" s="2"/>
      <c r="K9" s="2"/>
      <c r="L9" s="2"/>
      <c r="M9" s="2">
        <v>2</v>
      </c>
      <c r="N9" s="2">
        <v>5</v>
      </c>
      <c r="O9" s="2">
        <v>5</v>
      </c>
      <c r="P9" s="2">
        <v>5</v>
      </c>
      <c r="Q9" s="2"/>
      <c r="R9" s="2"/>
      <c r="S9" s="2"/>
      <c r="T9" s="2"/>
      <c r="U9" s="2"/>
      <c r="V9" s="2"/>
      <c r="W9" s="2"/>
      <c r="X9" s="2"/>
      <c r="Y9" s="2"/>
      <c r="Z9" s="2"/>
      <c r="AA9" s="2"/>
      <c r="AB9" s="5">
        <f t="shared" si="0"/>
        <v>17</v>
      </c>
    </row>
    <row r="10" spans="2:28" ht="21.95" customHeight="1">
      <c r="B10" s="2">
        <f t="shared" si="1"/>
        <v>8</v>
      </c>
      <c r="C10" s="3" t="s">
        <v>103</v>
      </c>
      <c r="D10" s="2"/>
      <c r="E10" s="2"/>
      <c r="F10" s="2"/>
      <c r="G10" s="2"/>
      <c r="H10" s="2"/>
      <c r="I10" s="2"/>
      <c r="J10" s="2"/>
      <c r="K10" s="2"/>
      <c r="L10" s="2"/>
      <c r="M10" s="2"/>
      <c r="N10" s="2"/>
      <c r="O10" s="2">
        <v>2</v>
      </c>
      <c r="P10" s="2">
        <v>5</v>
      </c>
      <c r="Q10" s="2">
        <v>5</v>
      </c>
      <c r="R10" s="2">
        <v>3</v>
      </c>
      <c r="S10" s="2"/>
      <c r="T10" s="2"/>
      <c r="U10" s="2"/>
      <c r="V10" s="2"/>
      <c r="W10" s="2"/>
      <c r="X10" s="2"/>
      <c r="Y10" s="2"/>
      <c r="Z10" s="2"/>
      <c r="AA10" s="2"/>
      <c r="AB10" s="5">
        <f t="shared" si="0"/>
        <v>15</v>
      </c>
    </row>
    <row r="11" spans="2:28" ht="21.95" customHeight="1">
      <c r="B11" s="2">
        <f t="shared" si="1"/>
        <v>9</v>
      </c>
      <c r="C11" s="3" t="s">
        <v>104</v>
      </c>
      <c r="D11" s="2"/>
      <c r="E11" s="2"/>
      <c r="F11" s="2"/>
      <c r="G11" s="2"/>
      <c r="H11" s="2"/>
      <c r="I11" s="2"/>
      <c r="J11" s="2">
        <v>2</v>
      </c>
      <c r="K11" s="2">
        <v>3</v>
      </c>
      <c r="L11" s="2">
        <v>3</v>
      </c>
      <c r="M11" s="2"/>
      <c r="N11" s="2"/>
      <c r="O11" s="2"/>
      <c r="P11" s="2"/>
      <c r="Q11" s="2"/>
      <c r="R11" s="2"/>
      <c r="S11" s="2"/>
      <c r="T11" s="2"/>
      <c r="U11" s="2"/>
      <c r="V11" s="2"/>
      <c r="W11" s="2"/>
      <c r="X11" s="2"/>
      <c r="Y11" s="2"/>
      <c r="Z11" s="2"/>
      <c r="AA11" s="2"/>
      <c r="AB11" s="5">
        <f t="shared" si="0"/>
        <v>8</v>
      </c>
    </row>
    <row r="12" spans="2:28" ht="21.95" customHeight="1">
      <c r="B12" s="2">
        <f t="shared" si="1"/>
        <v>10</v>
      </c>
      <c r="C12" s="3" t="s">
        <v>105</v>
      </c>
      <c r="D12" s="2"/>
      <c r="E12" s="2"/>
      <c r="F12" s="2"/>
      <c r="G12" s="2"/>
      <c r="H12" s="2"/>
      <c r="I12" s="2"/>
      <c r="J12" s="2"/>
      <c r="K12" s="2"/>
      <c r="L12" s="2">
        <v>2</v>
      </c>
      <c r="M12" s="2">
        <v>5</v>
      </c>
      <c r="N12" s="2">
        <v>5</v>
      </c>
      <c r="O12" s="2">
        <v>3</v>
      </c>
      <c r="P12" s="2"/>
      <c r="Q12" s="2"/>
      <c r="R12" s="2"/>
      <c r="S12" s="2"/>
      <c r="T12" s="2"/>
      <c r="U12" s="2"/>
      <c r="V12" s="2"/>
      <c r="W12" s="2"/>
      <c r="X12" s="2"/>
      <c r="Y12" s="2"/>
      <c r="Z12" s="2"/>
      <c r="AA12" s="2"/>
      <c r="AB12" s="5">
        <f t="shared" si="0"/>
        <v>15</v>
      </c>
    </row>
    <row r="13" spans="2:28" ht="21.95" customHeight="1">
      <c r="B13" s="2">
        <f t="shared" si="1"/>
        <v>11</v>
      </c>
      <c r="C13" s="3" t="s">
        <v>106</v>
      </c>
      <c r="D13" s="2"/>
      <c r="E13" s="2"/>
      <c r="F13" s="2"/>
      <c r="G13" s="2"/>
      <c r="H13" s="2"/>
      <c r="I13" s="2"/>
      <c r="J13" s="2"/>
      <c r="K13" s="2"/>
      <c r="L13" s="2"/>
      <c r="M13" s="2"/>
      <c r="N13" s="2">
        <v>2</v>
      </c>
      <c r="O13" s="2">
        <v>5</v>
      </c>
      <c r="P13" s="2">
        <v>5</v>
      </c>
      <c r="Q13" s="2">
        <v>3</v>
      </c>
      <c r="R13" s="2"/>
      <c r="S13" s="2"/>
      <c r="T13" s="2"/>
      <c r="U13" s="2"/>
      <c r="V13" s="2"/>
      <c r="W13" s="2"/>
      <c r="X13" s="2"/>
      <c r="Y13" s="2"/>
      <c r="Z13" s="2"/>
      <c r="AA13" s="2"/>
      <c r="AB13" s="5">
        <f t="shared" si="0"/>
        <v>15</v>
      </c>
    </row>
    <row r="14" spans="2:28" ht="21.95" customHeight="1">
      <c r="B14" s="2">
        <f t="shared" si="1"/>
        <v>12</v>
      </c>
      <c r="C14" s="3" t="s">
        <v>107</v>
      </c>
      <c r="D14" s="2"/>
      <c r="E14" s="2"/>
      <c r="F14" s="2"/>
      <c r="G14" s="2"/>
      <c r="H14" s="2"/>
      <c r="I14" s="2"/>
      <c r="J14" s="2"/>
      <c r="K14" s="2"/>
      <c r="L14" s="2"/>
      <c r="M14" s="2"/>
      <c r="N14" s="2"/>
      <c r="O14" s="2"/>
      <c r="P14" s="2">
        <v>2</v>
      </c>
      <c r="Q14" s="2">
        <v>5</v>
      </c>
      <c r="R14" s="2">
        <v>5</v>
      </c>
      <c r="S14" s="2"/>
      <c r="T14" s="2"/>
      <c r="U14" s="2"/>
      <c r="V14" s="2"/>
      <c r="W14" s="2"/>
      <c r="X14" s="2"/>
      <c r="Y14" s="2"/>
      <c r="Z14" s="2"/>
      <c r="AA14" s="2"/>
      <c r="AB14" s="5">
        <f t="shared" si="0"/>
        <v>12</v>
      </c>
    </row>
    <row r="15" spans="2:28" ht="21.95" customHeight="1">
      <c r="B15" s="2">
        <f t="shared" si="1"/>
        <v>13</v>
      </c>
      <c r="C15" s="3" t="s">
        <v>108</v>
      </c>
      <c r="D15" s="2"/>
      <c r="E15" s="2"/>
      <c r="F15" s="2"/>
      <c r="G15" s="2"/>
      <c r="H15" s="2"/>
      <c r="I15" s="2"/>
      <c r="J15" s="2"/>
      <c r="K15" s="2"/>
      <c r="L15" s="2"/>
      <c r="M15" s="2"/>
      <c r="N15" s="2"/>
      <c r="O15" s="2"/>
      <c r="P15" s="2"/>
      <c r="Q15" s="2"/>
      <c r="R15" s="2">
        <v>2</v>
      </c>
      <c r="S15" s="2">
        <v>5</v>
      </c>
      <c r="T15" s="2">
        <v>3</v>
      </c>
      <c r="U15" s="2"/>
      <c r="V15" s="2"/>
      <c r="W15" s="2"/>
      <c r="X15" s="2"/>
      <c r="Y15" s="2"/>
      <c r="Z15" s="2"/>
      <c r="AA15" s="2"/>
      <c r="AB15" s="5">
        <f t="shared" si="0"/>
        <v>10</v>
      </c>
    </row>
    <row r="16" spans="2:28" ht="21.95" customHeight="1">
      <c r="B16" s="2">
        <f t="shared" si="1"/>
        <v>14</v>
      </c>
      <c r="C16" s="3" t="s">
        <v>109</v>
      </c>
      <c r="D16" s="2"/>
      <c r="E16" s="2"/>
      <c r="F16" s="2"/>
      <c r="G16" s="2"/>
      <c r="H16" s="2"/>
      <c r="I16" s="2"/>
      <c r="J16" s="2"/>
      <c r="K16" s="2"/>
      <c r="L16" s="2"/>
      <c r="M16" s="2"/>
      <c r="N16" s="2"/>
      <c r="O16" s="2"/>
      <c r="P16" s="2"/>
      <c r="Q16" s="2">
        <v>2</v>
      </c>
      <c r="R16" s="2">
        <v>3</v>
      </c>
      <c r="S16" s="2">
        <v>3</v>
      </c>
      <c r="T16" s="2"/>
      <c r="U16" s="2"/>
      <c r="V16" s="2"/>
      <c r="W16" s="2"/>
      <c r="X16" s="2"/>
      <c r="Y16" s="2"/>
      <c r="Z16" s="2"/>
      <c r="AA16" s="2"/>
      <c r="AB16" s="5">
        <f t="shared" si="0"/>
        <v>8</v>
      </c>
    </row>
    <row r="17" spans="2:28" ht="21.95" customHeight="1">
      <c r="B17" s="2">
        <f t="shared" si="1"/>
        <v>15</v>
      </c>
      <c r="C17" s="3" t="s">
        <v>110</v>
      </c>
      <c r="D17" s="2"/>
      <c r="E17" s="2"/>
      <c r="F17" s="2"/>
      <c r="G17" s="2"/>
      <c r="H17" s="2"/>
      <c r="I17" s="2"/>
      <c r="J17" s="2"/>
      <c r="K17" s="2"/>
      <c r="L17" s="2"/>
      <c r="M17" s="2">
        <v>1</v>
      </c>
      <c r="N17" s="2">
        <v>1</v>
      </c>
      <c r="O17" s="2">
        <v>1</v>
      </c>
      <c r="P17" s="2">
        <v>1</v>
      </c>
      <c r="Q17" s="2">
        <v>2</v>
      </c>
      <c r="R17" s="2">
        <v>2</v>
      </c>
      <c r="S17" s="2">
        <v>2</v>
      </c>
      <c r="T17" s="2">
        <v>2</v>
      </c>
      <c r="U17" s="2"/>
      <c r="V17" s="2"/>
      <c r="W17" s="2"/>
      <c r="X17" s="2"/>
      <c r="Y17" s="2"/>
      <c r="Z17" s="2"/>
      <c r="AA17" s="2"/>
      <c r="AB17" s="5">
        <f t="shared" si="0"/>
        <v>12</v>
      </c>
    </row>
    <row r="18" spans="2:28" ht="21.95" customHeight="1">
      <c r="B18" s="2">
        <f t="shared" si="1"/>
        <v>16</v>
      </c>
      <c r="C18" s="3" t="s">
        <v>111</v>
      </c>
      <c r="D18" s="2"/>
      <c r="E18" s="2"/>
      <c r="F18" s="2"/>
      <c r="G18" s="2"/>
      <c r="H18" s="2"/>
      <c r="I18" s="2"/>
      <c r="J18" s="2"/>
      <c r="K18" s="2"/>
      <c r="L18" s="2"/>
      <c r="M18" s="2"/>
      <c r="N18" s="2"/>
      <c r="O18" s="2"/>
      <c r="P18" s="2"/>
      <c r="Q18" s="2"/>
      <c r="R18" s="2"/>
      <c r="S18" s="2">
        <v>2</v>
      </c>
      <c r="T18" s="2">
        <v>3</v>
      </c>
      <c r="U18" s="2">
        <v>3</v>
      </c>
      <c r="V18" s="2"/>
      <c r="W18" s="2"/>
      <c r="X18" s="2"/>
      <c r="Y18" s="2"/>
      <c r="Z18" s="2"/>
      <c r="AA18" s="2"/>
      <c r="AB18" s="5">
        <f t="shared" si="0"/>
        <v>8</v>
      </c>
    </row>
    <row r="19" spans="2:28" ht="21.95" customHeight="1">
      <c r="B19" s="2">
        <f t="shared" si="1"/>
        <v>17</v>
      </c>
      <c r="C19" s="3" t="s">
        <v>112</v>
      </c>
      <c r="D19" s="2"/>
      <c r="E19" s="2"/>
      <c r="F19" s="2"/>
      <c r="G19" s="2"/>
      <c r="H19" s="2"/>
      <c r="I19" s="2"/>
      <c r="J19" s="2"/>
      <c r="K19" s="2"/>
      <c r="L19" s="2"/>
      <c r="M19" s="2"/>
      <c r="N19" s="2"/>
      <c r="O19" s="2"/>
      <c r="P19" s="2"/>
      <c r="Q19" s="2"/>
      <c r="R19" s="2"/>
      <c r="S19" s="2"/>
      <c r="T19" s="2"/>
      <c r="U19" s="2">
        <v>2</v>
      </c>
      <c r="V19" s="2">
        <v>5</v>
      </c>
      <c r="W19" s="2">
        <v>5</v>
      </c>
      <c r="X19" s="2"/>
      <c r="Y19" s="2"/>
      <c r="Z19" s="2"/>
      <c r="AA19" s="2"/>
      <c r="AB19" s="5">
        <f t="shared" si="0"/>
        <v>12</v>
      </c>
    </row>
    <row r="20" spans="2:28" ht="21.95" customHeight="1">
      <c r="B20" s="2">
        <f t="shared" si="1"/>
        <v>18</v>
      </c>
      <c r="C20" s="3" t="s">
        <v>113</v>
      </c>
      <c r="D20" s="2"/>
      <c r="E20" s="2"/>
      <c r="F20" s="2"/>
      <c r="G20" s="2"/>
      <c r="H20" s="2"/>
      <c r="I20" s="2"/>
      <c r="J20" s="2"/>
      <c r="K20" s="2"/>
      <c r="L20" s="2"/>
      <c r="M20" s="2"/>
      <c r="N20" s="2"/>
      <c r="O20" s="2"/>
      <c r="P20" s="2"/>
      <c r="Q20" s="2"/>
      <c r="R20" s="2"/>
      <c r="S20" s="2"/>
      <c r="T20" s="2"/>
      <c r="U20" s="2"/>
      <c r="V20" s="2"/>
      <c r="W20" s="2">
        <v>2</v>
      </c>
      <c r="X20" s="2">
        <v>5</v>
      </c>
      <c r="Y20" s="2">
        <v>3</v>
      </c>
      <c r="Z20" s="2"/>
      <c r="AA20" s="2"/>
      <c r="AB20" s="5">
        <f t="shared" si="0"/>
        <v>10</v>
      </c>
    </row>
    <row r="21" spans="2:28" ht="21.95" customHeight="1">
      <c r="B21" s="2">
        <f t="shared" si="1"/>
        <v>19</v>
      </c>
      <c r="C21" s="3" t="s">
        <v>114</v>
      </c>
      <c r="D21" s="2"/>
      <c r="E21" s="2"/>
      <c r="F21" s="2"/>
      <c r="G21" s="2"/>
      <c r="H21" s="2"/>
      <c r="I21" s="2"/>
      <c r="J21" s="2"/>
      <c r="K21" s="2"/>
      <c r="L21" s="2"/>
      <c r="M21" s="2"/>
      <c r="N21" s="2"/>
      <c r="O21" s="2"/>
      <c r="P21" s="2"/>
      <c r="Q21" s="2"/>
      <c r="R21" s="2"/>
      <c r="S21" s="2"/>
      <c r="T21" s="2"/>
      <c r="U21" s="2"/>
      <c r="V21" s="2">
        <v>2</v>
      </c>
      <c r="W21" s="2">
        <v>3</v>
      </c>
      <c r="X21" s="2">
        <v>3</v>
      </c>
      <c r="Y21" s="2">
        <v>2</v>
      </c>
      <c r="Z21" s="2"/>
      <c r="AA21" s="2"/>
      <c r="AB21" s="5">
        <f t="shared" si="0"/>
        <v>10</v>
      </c>
    </row>
    <row r="22" spans="2:28" ht="21.95" customHeight="1">
      <c r="B22" s="2">
        <f t="shared" si="1"/>
        <v>20</v>
      </c>
      <c r="C22" s="3" t="s">
        <v>115</v>
      </c>
      <c r="D22" s="2"/>
      <c r="E22" s="2"/>
      <c r="F22" s="2"/>
      <c r="G22" s="2"/>
      <c r="H22" s="2"/>
      <c r="I22" s="2"/>
      <c r="J22" s="2"/>
      <c r="K22" s="2"/>
      <c r="L22" s="2"/>
      <c r="M22" s="2"/>
      <c r="N22" s="2"/>
      <c r="O22" s="2"/>
      <c r="P22" s="2"/>
      <c r="Q22" s="2"/>
      <c r="R22" s="2"/>
      <c r="S22" s="2"/>
      <c r="T22" s="2"/>
      <c r="U22" s="2"/>
      <c r="V22" s="2"/>
      <c r="W22" s="2"/>
      <c r="X22" s="2">
        <v>2</v>
      </c>
      <c r="Y22" s="2">
        <v>3</v>
      </c>
      <c r="Z22" s="2"/>
      <c r="AA22" s="2"/>
      <c r="AB22" s="5">
        <f t="shared" si="0"/>
        <v>5</v>
      </c>
    </row>
    <row r="23" spans="2:28" ht="21.95" customHeight="1">
      <c r="B23" s="2">
        <f t="shared" si="1"/>
        <v>21</v>
      </c>
      <c r="C23" s="3" t="s">
        <v>116</v>
      </c>
      <c r="D23" s="2"/>
      <c r="E23" s="2"/>
      <c r="F23" s="2"/>
      <c r="G23" s="2"/>
      <c r="H23" s="2"/>
      <c r="I23" s="2"/>
      <c r="J23" s="2"/>
      <c r="K23" s="2"/>
      <c r="L23" s="2"/>
      <c r="M23" s="2"/>
      <c r="N23" s="2"/>
      <c r="O23" s="2"/>
      <c r="P23" s="2"/>
      <c r="Q23" s="2"/>
      <c r="R23" s="2"/>
      <c r="S23" s="2"/>
      <c r="T23" s="2"/>
      <c r="U23" s="2"/>
      <c r="V23" s="2"/>
      <c r="W23" s="2"/>
      <c r="X23" s="2"/>
      <c r="Y23" s="2">
        <v>2</v>
      </c>
      <c r="Z23" s="2">
        <v>2</v>
      </c>
      <c r="AA23" s="2"/>
      <c r="AB23" s="5">
        <f t="shared" si="0"/>
        <v>4</v>
      </c>
    </row>
    <row r="24" spans="2:28" ht="21.95" customHeight="1">
      <c r="B24" s="2">
        <f t="shared" si="1"/>
        <v>22</v>
      </c>
      <c r="C24" s="3" t="s">
        <v>117</v>
      </c>
      <c r="D24" s="2"/>
      <c r="E24" s="2"/>
      <c r="F24" s="2"/>
      <c r="G24" s="2"/>
      <c r="H24" s="2"/>
      <c r="I24" s="2"/>
      <c r="J24" s="2"/>
      <c r="K24" s="2"/>
      <c r="L24" s="2"/>
      <c r="M24" s="2"/>
      <c r="N24" s="2"/>
      <c r="O24" s="2"/>
      <c r="P24" s="2"/>
      <c r="Q24" s="2"/>
      <c r="R24" s="2"/>
      <c r="S24" s="2"/>
      <c r="T24" s="2"/>
      <c r="U24" s="2">
        <v>1</v>
      </c>
      <c r="V24" s="2">
        <v>1</v>
      </c>
      <c r="W24" s="2">
        <v>1</v>
      </c>
      <c r="X24" s="2">
        <v>1</v>
      </c>
      <c r="Y24" s="2">
        <v>2</v>
      </c>
      <c r="Z24" s="2">
        <v>2</v>
      </c>
      <c r="AA24" s="2"/>
      <c r="AB24" s="5">
        <f t="shared" si="0"/>
        <v>8</v>
      </c>
    </row>
    <row r="25" spans="2:28" ht="21.95" customHeight="1">
      <c r="B25" s="2">
        <f t="shared" si="1"/>
        <v>23</v>
      </c>
      <c r="C25" s="3" t="s">
        <v>118</v>
      </c>
      <c r="D25" s="2"/>
      <c r="E25" s="2"/>
      <c r="F25" s="2"/>
      <c r="G25" s="2"/>
      <c r="H25" s="2"/>
      <c r="I25" s="2"/>
      <c r="J25" s="2"/>
      <c r="K25" s="2"/>
      <c r="L25" s="2"/>
      <c r="M25" s="2"/>
      <c r="N25" s="2"/>
      <c r="O25" s="2"/>
      <c r="P25" s="2"/>
      <c r="Q25" s="2"/>
      <c r="R25" s="2"/>
      <c r="S25" s="2"/>
      <c r="T25" s="2"/>
      <c r="U25" s="2"/>
      <c r="V25" s="2"/>
      <c r="W25" s="2"/>
      <c r="X25" s="2"/>
      <c r="Y25" s="2"/>
      <c r="Z25" s="2">
        <v>3</v>
      </c>
      <c r="AA25" s="2">
        <v>2</v>
      </c>
      <c r="AB25" s="5">
        <f t="shared" si="0"/>
        <v>5</v>
      </c>
    </row>
    <row r="26" spans="2:28" ht="21.95" customHeight="1">
      <c r="B26" s="2">
        <f t="shared" si="1"/>
        <v>24</v>
      </c>
      <c r="C26" s="3" t="s">
        <v>119</v>
      </c>
      <c r="D26" s="2"/>
      <c r="E26" s="2"/>
      <c r="F26" s="2"/>
      <c r="G26" s="2"/>
      <c r="H26" s="2"/>
      <c r="I26" s="2"/>
      <c r="J26" s="2"/>
      <c r="K26" s="2"/>
      <c r="L26" s="2"/>
      <c r="M26" s="2"/>
      <c r="N26" s="2"/>
      <c r="O26" s="2"/>
      <c r="P26" s="2"/>
      <c r="Q26" s="2"/>
      <c r="R26" s="2"/>
      <c r="S26" s="2"/>
      <c r="T26" s="2"/>
      <c r="U26" s="2"/>
      <c r="V26" s="2"/>
      <c r="W26" s="2"/>
      <c r="X26" s="2"/>
      <c r="Y26" s="2"/>
      <c r="Z26" s="2">
        <v>2</v>
      </c>
      <c r="AA26" s="2">
        <v>3</v>
      </c>
      <c r="AB26" s="5">
        <f t="shared" si="0"/>
        <v>5</v>
      </c>
    </row>
    <row r="27" spans="2:28" ht="21.95" customHeight="1">
      <c r="B27" s="2">
        <f t="shared" si="1"/>
        <v>25</v>
      </c>
      <c r="C27" s="3" t="s">
        <v>120</v>
      </c>
      <c r="D27" s="2"/>
      <c r="E27" s="2"/>
      <c r="F27" s="2"/>
      <c r="G27" s="2"/>
      <c r="H27" s="2"/>
      <c r="I27" s="2"/>
      <c r="J27" s="2"/>
      <c r="K27" s="2"/>
      <c r="L27" s="2"/>
      <c r="M27" s="2"/>
      <c r="N27" s="2"/>
      <c r="O27" s="2"/>
      <c r="P27" s="2"/>
      <c r="Q27" s="2"/>
      <c r="R27" s="2"/>
      <c r="S27" s="2"/>
      <c r="T27" s="2"/>
      <c r="U27" s="2"/>
      <c r="V27" s="2"/>
      <c r="W27" s="2"/>
      <c r="X27" s="2"/>
      <c r="Y27" s="2"/>
      <c r="Z27" s="2"/>
      <c r="AA27" s="2">
        <v>5</v>
      </c>
      <c r="AB27" s="5">
        <f t="shared" si="0"/>
        <v>5</v>
      </c>
    </row>
    <row r="28" spans="2:28" ht="21.95" customHeight="1">
      <c r="B28" s="2">
        <f t="shared" si="1"/>
        <v>26</v>
      </c>
      <c r="C28" s="3"/>
      <c r="D28" s="2"/>
      <c r="E28" s="2"/>
      <c r="F28" s="2"/>
      <c r="G28" s="2"/>
      <c r="H28" s="2"/>
      <c r="I28" s="2"/>
      <c r="J28" s="2"/>
      <c r="K28" s="2"/>
      <c r="L28" s="2"/>
      <c r="M28" s="2"/>
      <c r="N28" s="2"/>
      <c r="O28" s="2"/>
      <c r="P28" s="2"/>
      <c r="Q28" s="2"/>
      <c r="R28" s="2"/>
      <c r="S28" s="2"/>
      <c r="T28" s="2"/>
      <c r="U28" s="2"/>
      <c r="V28" s="2"/>
      <c r="W28" s="2"/>
      <c r="X28" s="2"/>
      <c r="Y28" s="2"/>
      <c r="Z28" s="2"/>
      <c r="AA28" s="2"/>
      <c r="AB28" s="5">
        <f t="shared" si="0"/>
        <v>0</v>
      </c>
    </row>
    <row r="29" spans="2:28" ht="21.95" customHeight="1">
      <c r="B29" s="2">
        <f t="shared" si="1"/>
        <v>27</v>
      </c>
      <c r="C29" s="3"/>
      <c r="D29" s="2"/>
      <c r="E29" s="2"/>
      <c r="F29" s="2"/>
      <c r="G29" s="2"/>
      <c r="H29" s="2"/>
      <c r="I29" s="2"/>
      <c r="J29" s="2"/>
      <c r="K29" s="2"/>
      <c r="L29" s="2"/>
      <c r="M29" s="2"/>
      <c r="N29" s="2"/>
      <c r="O29" s="2"/>
      <c r="P29" s="2"/>
      <c r="Q29" s="2"/>
      <c r="R29" s="2"/>
      <c r="S29" s="2"/>
      <c r="T29" s="2"/>
      <c r="U29" s="2"/>
      <c r="V29" s="2"/>
      <c r="W29" s="2"/>
      <c r="X29" s="2"/>
      <c r="Y29" s="2"/>
      <c r="Z29" s="2"/>
      <c r="AA29" s="2"/>
      <c r="AB29" s="5">
        <f t="shared" si="0"/>
        <v>0</v>
      </c>
    </row>
    <row r="30" spans="2:28" ht="21.95" customHeight="1">
      <c r="B30" s="2">
        <f t="shared" si="1"/>
        <v>28</v>
      </c>
      <c r="C30" s="3"/>
      <c r="D30" s="2"/>
      <c r="E30" s="2"/>
      <c r="F30" s="2"/>
      <c r="G30" s="2"/>
      <c r="H30" s="2"/>
      <c r="I30" s="2"/>
      <c r="J30" s="2"/>
      <c r="K30" s="2"/>
      <c r="L30" s="2"/>
      <c r="M30" s="2"/>
      <c r="N30" s="2"/>
      <c r="O30" s="2"/>
      <c r="P30" s="2"/>
      <c r="Q30" s="2"/>
      <c r="R30" s="2"/>
      <c r="S30" s="2"/>
      <c r="T30" s="2"/>
      <c r="U30" s="2"/>
      <c r="V30" s="2"/>
      <c r="W30" s="2"/>
      <c r="X30" s="2"/>
      <c r="Y30" s="2"/>
      <c r="Z30" s="2"/>
      <c r="AA30" s="2"/>
      <c r="AB30" s="5">
        <f t="shared" si="0"/>
        <v>0</v>
      </c>
    </row>
    <row r="31" spans="2:28" ht="21.95" customHeight="1">
      <c r="B31" s="2">
        <f t="shared" si="1"/>
        <v>29</v>
      </c>
      <c r="C31" s="3"/>
      <c r="D31" s="2"/>
      <c r="E31" s="2"/>
      <c r="F31" s="2"/>
      <c r="G31" s="2"/>
      <c r="H31" s="2"/>
      <c r="I31" s="2"/>
      <c r="J31" s="2"/>
      <c r="K31" s="2"/>
      <c r="L31" s="2"/>
      <c r="M31" s="2"/>
      <c r="N31" s="2"/>
      <c r="O31" s="2"/>
      <c r="P31" s="2"/>
      <c r="Q31" s="2"/>
      <c r="R31" s="2"/>
      <c r="S31" s="2"/>
      <c r="T31" s="2"/>
      <c r="U31" s="2"/>
      <c r="V31" s="2"/>
      <c r="W31" s="2"/>
      <c r="X31" s="2"/>
      <c r="Y31" s="2"/>
      <c r="Z31" s="2"/>
      <c r="AA31" s="2"/>
      <c r="AB31" s="5">
        <f t="shared" si="0"/>
        <v>0</v>
      </c>
    </row>
    <row r="32" spans="2:28" ht="21.75" customHeight="1">
      <c r="B32" s="27"/>
      <c r="C32" s="28" t="s">
        <v>121</v>
      </c>
      <c r="D32" s="27"/>
      <c r="E32" s="27"/>
      <c r="F32" s="27"/>
      <c r="G32" s="27"/>
      <c r="H32" s="27"/>
      <c r="I32" s="27"/>
      <c r="J32" s="27"/>
      <c r="K32" s="27"/>
      <c r="L32" s="27"/>
      <c r="M32" s="27"/>
      <c r="N32" s="27"/>
      <c r="O32" s="27"/>
      <c r="P32" s="27"/>
      <c r="Q32" s="27"/>
      <c r="R32" s="27"/>
      <c r="S32" s="27"/>
      <c r="T32" s="27"/>
      <c r="U32" s="27"/>
      <c r="V32" s="27"/>
      <c r="W32" s="27"/>
      <c r="X32" s="27"/>
      <c r="Y32" s="27"/>
      <c r="Z32" s="27"/>
      <c r="AA32" s="27"/>
      <c r="AB32" s="27">
        <f t="shared" si="0"/>
        <v>0</v>
      </c>
    </row>
    <row r="33" spans="2:28" ht="21.95" customHeight="1">
      <c r="B33" s="18"/>
      <c r="C33" s="19" t="s">
        <v>122</v>
      </c>
      <c r="D33" s="7">
        <f>SUM(D3:D32)</f>
        <v>5</v>
      </c>
      <c r="E33" s="7">
        <f>SUM(E3:E32)</f>
        <v>5</v>
      </c>
      <c r="F33" s="7">
        <f>SUM(F3:F32)</f>
        <v>6</v>
      </c>
      <c r="G33" s="7">
        <f>SUM(G3:G32)</f>
        <v>9</v>
      </c>
      <c r="H33" s="7">
        <f>SUM(H3:H32)</f>
        <v>11</v>
      </c>
      <c r="I33" s="7">
        <f>SUM(I3:I32)</f>
        <v>10</v>
      </c>
      <c r="J33" s="7">
        <f>SUM(J3:J32)</f>
        <v>9</v>
      </c>
      <c r="K33" s="7">
        <f>SUM(K3:K32)</f>
        <v>10</v>
      </c>
      <c r="L33" s="7">
        <f>SUM(L3:L32)</f>
        <v>15</v>
      </c>
      <c r="M33" s="7">
        <f>SUM(M3:M32)</f>
        <v>16</v>
      </c>
      <c r="N33" s="7">
        <f>SUM(N3:N32)</f>
        <v>18</v>
      </c>
      <c r="O33" s="7">
        <f>SUM(O3:O32)</f>
        <v>19</v>
      </c>
      <c r="P33" s="7">
        <f>SUM(P3:P32)</f>
        <v>18</v>
      </c>
      <c r="Q33" s="7">
        <f>SUM(Q3:Q32)</f>
        <v>17</v>
      </c>
      <c r="R33" s="7">
        <f>SUM(R3:R32)</f>
        <v>15</v>
      </c>
      <c r="S33" s="7">
        <f>SUM(S3:S32)</f>
        <v>12</v>
      </c>
      <c r="T33" s="7">
        <f>SUM(T3:T32)</f>
        <v>8</v>
      </c>
      <c r="U33" s="7">
        <f>SUM(U3:U32)</f>
        <v>6</v>
      </c>
      <c r="V33" s="7">
        <f>SUM(V3:V32)</f>
        <v>8</v>
      </c>
      <c r="W33" s="7">
        <f>SUM(W3:W32)</f>
        <v>11</v>
      </c>
      <c r="X33" s="7">
        <f>SUM(X3:X32)</f>
        <v>11</v>
      </c>
      <c r="Y33" s="7">
        <f>SUM(Y3:Y32)</f>
        <v>12</v>
      </c>
      <c r="Z33" s="7">
        <f>SUM(Z3:Z32)</f>
        <v>9</v>
      </c>
      <c r="AA33" s="7">
        <f>SUM(AA3:AA32)</f>
        <v>10</v>
      </c>
      <c r="AB33" s="7">
        <f>SUM(AB3:AB32)</f>
        <v>270</v>
      </c>
    </row>
    <row r="34" spans="2:28" ht="21.95" customHeight="1">
      <c r="B34" s="18"/>
      <c r="C34" s="20" t="s">
        <v>123</v>
      </c>
      <c r="D34" s="9">
        <f>D33</f>
        <v>5</v>
      </c>
      <c r="E34" s="9">
        <f t="shared" ref="E34:AA34" si="2">D34+E33</f>
        <v>10</v>
      </c>
      <c r="F34" s="9">
        <f t="shared" si="2"/>
        <v>16</v>
      </c>
      <c r="G34" s="9">
        <f t="shared" si="2"/>
        <v>25</v>
      </c>
      <c r="H34" s="9">
        <f t="shared" si="2"/>
        <v>36</v>
      </c>
      <c r="I34" s="9">
        <f t="shared" si="2"/>
        <v>46</v>
      </c>
      <c r="J34" s="9">
        <f t="shared" si="2"/>
        <v>55</v>
      </c>
      <c r="K34" s="9">
        <f t="shared" si="2"/>
        <v>65</v>
      </c>
      <c r="L34" s="9">
        <f t="shared" si="2"/>
        <v>80</v>
      </c>
      <c r="M34" s="9">
        <f t="shared" si="2"/>
        <v>96</v>
      </c>
      <c r="N34" s="9">
        <f t="shared" si="2"/>
        <v>114</v>
      </c>
      <c r="O34" s="9">
        <f t="shared" si="2"/>
        <v>133</v>
      </c>
      <c r="P34" s="9">
        <f t="shared" si="2"/>
        <v>151</v>
      </c>
      <c r="Q34" s="9">
        <f t="shared" si="2"/>
        <v>168</v>
      </c>
      <c r="R34" s="9">
        <f t="shared" si="2"/>
        <v>183</v>
      </c>
      <c r="S34" s="9">
        <f t="shared" si="2"/>
        <v>195</v>
      </c>
      <c r="T34" s="9">
        <f t="shared" si="2"/>
        <v>203</v>
      </c>
      <c r="U34" s="9">
        <f t="shared" si="2"/>
        <v>209</v>
      </c>
      <c r="V34" s="9">
        <f t="shared" si="2"/>
        <v>217</v>
      </c>
      <c r="W34" s="9">
        <f t="shared" si="2"/>
        <v>228</v>
      </c>
      <c r="X34" s="9">
        <f t="shared" si="2"/>
        <v>239</v>
      </c>
      <c r="Y34" s="9">
        <f t="shared" si="2"/>
        <v>251</v>
      </c>
      <c r="Z34" s="9">
        <f t="shared" si="2"/>
        <v>260</v>
      </c>
      <c r="AA34" s="9">
        <f t="shared" si="2"/>
        <v>270</v>
      </c>
    </row>
    <row r="35" spans="2:28" ht="21.95" customHeight="1"/>
    <row r="36" spans="2:28" ht="21.95" customHeight="1"/>
    <row r="37" spans="2:28" ht="21.95" customHeight="1"/>
    <row r="38" spans="2:28" ht="21.95" customHeight="1"/>
    <row r="39" spans="2:28" ht="21.95" customHeight="1"/>
  </sheetData>
  <mergeCells count="1">
    <mergeCell ref="B1:AB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C42D2-6F27-415A-8A92-98B1A21FCBD8}">
  <sheetPr>
    <tabColor rgb="FF0070C0"/>
  </sheetPr>
  <dimension ref="B1:AB39"/>
  <sheetViews>
    <sheetView zoomScale="70" zoomScaleNormal="70" workbookViewId="0">
      <pane xSplit="3" ySplit="2" topLeftCell="D3" activePane="bottomRight" state="frozen"/>
      <selection pane="bottomRight" activeCell="N38" sqref="N38"/>
      <selection pane="bottomLeft" activeCell="I20" sqref="I20"/>
      <selection pane="topRight" activeCell="I20" sqref="I20"/>
    </sheetView>
  </sheetViews>
  <sheetFormatPr defaultColWidth="8.7109375" defaultRowHeight="14.45"/>
  <cols>
    <col min="1" max="1" width="0.7109375" style="17" customWidth="1"/>
    <col min="2" max="2" width="6" style="17" customWidth="1"/>
    <col min="3" max="3" width="45" style="17" customWidth="1"/>
    <col min="4" max="28" width="8" style="17" customWidth="1"/>
    <col min="29" max="16384" width="8.7109375" style="17"/>
  </cols>
  <sheetData>
    <row r="1" spans="2:28" ht="30" customHeight="1">
      <c r="B1" s="29" t="s">
        <v>124</v>
      </c>
      <c r="C1" s="30"/>
      <c r="D1" s="30"/>
      <c r="E1" s="30"/>
      <c r="F1" s="30"/>
      <c r="G1" s="30"/>
      <c r="H1" s="30"/>
      <c r="I1" s="30"/>
      <c r="J1" s="30"/>
      <c r="K1" s="30"/>
      <c r="L1" s="30"/>
      <c r="M1" s="30"/>
      <c r="N1" s="30"/>
      <c r="O1" s="30"/>
      <c r="P1" s="30"/>
      <c r="Q1" s="30"/>
      <c r="R1" s="30"/>
      <c r="S1" s="30"/>
      <c r="T1" s="30"/>
      <c r="U1" s="30"/>
      <c r="V1" s="30"/>
      <c r="W1" s="30"/>
      <c r="X1" s="30"/>
      <c r="Y1" s="30"/>
      <c r="Z1" s="30"/>
      <c r="AA1" s="30"/>
      <c r="AB1" s="30"/>
    </row>
    <row r="2" spans="2:28" ht="21.95" customHeight="1">
      <c r="B2" s="1" t="s">
        <v>2</v>
      </c>
      <c r="C2" s="1" t="s">
        <v>70</v>
      </c>
      <c r="D2" s="1" t="s">
        <v>125</v>
      </c>
      <c r="E2" s="1" t="s">
        <v>72</v>
      </c>
      <c r="F2" s="1" t="s">
        <v>73</v>
      </c>
      <c r="G2" s="1" t="s">
        <v>74</v>
      </c>
      <c r="H2" s="1" t="s">
        <v>75</v>
      </c>
      <c r="I2" s="1" t="s">
        <v>76</v>
      </c>
      <c r="J2" s="1" t="s">
        <v>77</v>
      </c>
      <c r="K2" s="1" t="s">
        <v>78</v>
      </c>
      <c r="L2" s="1" t="s">
        <v>79</v>
      </c>
      <c r="M2" s="1" t="s">
        <v>80</v>
      </c>
      <c r="N2" s="1" t="s">
        <v>81</v>
      </c>
      <c r="O2" s="1" t="s">
        <v>82</v>
      </c>
      <c r="P2" s="1" t="s">
        <v>83</v>
      </c>
      <c r="Q2" s="1" t="s">
        <v>84</v>
      </c>
      <c r="R2" s="1" t="s">
        <v>85</v>
      </c>
      <c r="S2" s="1" t="s">
        <v>86</v>
      </c>
      <c r="T2" s="1" t="s">
        <v>87</v>
      </c>
      <c r="U2" s="1" t="s">
        <v>88</v>
      </c>
      <c r="V2" s="1" t="s">
        <v>89</v>
      </c>
      <c r="W2" s="1" t="s">
        <v>90</v>
      </c>
      <c r="X2" s="1" t="s">
        <v>91</v>
      </c>
      <c r="Y2" s="1" t="s">
        <v>92</v>
      </c>
      <c r="Z2" s="1" t="s">
        <v>93</v>
      </c>
      <c r="AA2" s="1" t="s">
        <v>94</v>
      </c>
      <c r="AB2" s="1"/>
    </row>
    <row r="3" spans="2:28" ht="21.95" customHeight="1">
      <c r="B3" s="2">
        <f>IF('PV (Kế hoạch)'!B3="","",'PV (Kế hoạch)'!B3)</f>
        <v>1</v>
      </c>
      <c r="C3" s="3" t="str">
        <f>IF('PV (Kế hoạch)'!C3="","",'PV (Kế hoạch)'!C3)</f>
        <v>Phân tích yêu cầu (Requirements Analysis)</v>
      </c>
      <c r="D3" s="2">
        <v>0.38</v>
      </c>
      <c r="E3" s="2">
        <v>0.77</v>
      </c>
      <c r="F3" s="2">
        <v>1</v>
      </c>
      <c r="G3" s="2">
        <v>1</v>
      </c>
      <c r="H3" s="2">
        <v>1</v>
      </c>
      <c r="I3" s="2">
        <v>1</v>
      </c>
      <c r="J3" s="2">
        <v>1</v>
      </c>
      <c r="K3" s="2">
        <v>1</v>
      </c>
      <c r="L3" s="2">
        <v>1</v>
      </c>
      <c r="M3" s="2">
        <v>1</v>
      </c>
      <c r="N3" s="2">
        <v>1</v>
      </c>
      <c r="O3" s="2">
        <v>1</v>
      </c>
      <c r="P3" s="2">
        <v>1</v>
      </c>
      <c r="Q3" s="2">
        <v>1</v>
      </c>
      <c r="R3" s="2">
        <v>1</v>
      </c>
      <c r="S3" s="2">
        <v>1</v>
      </c>
      <c r="T3" s="2">
        <v>1</v>
      </c>
      <c r="U3" s="2">
        <v>1</v>
      </c>
      <c r="V3" s="2">
        <f>U3</f>
        <v>1</v>
      </c>
      <c r="W3" s="2">
        <f t="shared" ref="W3:AA3" si="0">V3</f>
        <v>1</v>
      </c>
      <c r="X3" s="2">
        <f t="shared" si="0"/>
        <v>1</v>
      </c>
      <c r="Y3" s="2">
        <f t="shared" si="0"/>
        <v>1</v>
      </c>
      <c r="Z3" s="2">
        <f t="shared" si="0"/>
        <v>1</v>
      </c>
      <c r="AA3" s="2">
        <f t="shared" si="0"/>
        <v>1</v>
      </c>
      <c r="AB3" s="5"/>
    </row>
    <row r="4" spans="2:28" ht="21.95" customHeight="1">
      <c r="B4" s="2">
        <f>IF('PV (Kế hoạch)'!B4="","",'PV (Kế hoạch)'!B4)</f>
        <v>2</v>
      </c>
      <c r="C4" s="3" t="str">
        <f>IF('PV (Kế hoạch)'!C4="","",'PV (Kế hoạch)'!C4)</f>
        <v>Thiết kế hệ thống (System Design)</v>
      </c>
      <c r="D4" s="2">
        <v>0</v>
      </c>
      <c r="E4" s="2">
        <v>0</v>
      </c>
      <c r="F4" s="2">
        <v>0.2</v>
      </c>
      <c r="G4" s="2">
        <v>0.53</v>
      </c>
      <c r="H4" s="2">
        <v>0.87</v>
      </c>
      <c r="I4" s="2">
        <v>1</v>
      </c>
      <c r="J4" s="2">
        <v>1</v>
      </c>
      <c r="K4" s="2">
        <v>1</v>
      </c>
      <c r="L4" s="2">
        <v>1</v>
      </c>
      <c r="M4" s="2">
        <v>1</v>
      </c>
      <c r="N4" s="2">
        <v>1</v>
      </c>
      <c r="O4" s="2">
        <v>1</v>
      </c>
      <c r="P4" s="2">
        <v>1</v>
      </c>
      <c r="Q4" s="2">
        <v>1</v>
      </c>
      <c r="R4" s="2">
        <v>1</v>
      </c>
      <c r="S4" s="2">
        <v>1</v>
      </c>
      <c r="T4" s="2">
        <v>1</v>
      </c>
      <c r="U4" s="2">
        <v>1</v>
      </c>
      <c r="V4" s="2">
        <f t="shared" ref="V4:AA4" si="1">U4</f>
        <v>1</v>
      </c>
      <c r="W4" s="2">
        <f t="shared" si="1"/>
        <v>1</v>
      </c>
      <c r="X4" s="2">
        <f t="shared" si="1"/>
        <v>1</v>
      </c>
      <c r="Y4" s="2">
        <f t="shared" si="1"/>
        <v>1</v>
      </c>
      <c r="Z4" s="2">
        <f t="shared" si="1"/>
        <v>1</v>
      </c>
      <c r="AA4" s="2">
        <f t="shared" si="1"/>
        <v>1</v>
      </c>
      <c r="AB4" s="5"/>
    </row>
    <row r="5" spans="2:28" ht="21.95" customHeight="1">
      <c r="B5" s="2">
        <f>IF('PV (Kế hoạch)'!B5="","",'PV (Kế hoạch)'!B5)</f>
        <v>3</v>
      </c>
      <c r="C5" s="3" t="str">
        <f>IF('PV (Kế hoạch)'!C5="","",'PV (Kế hoạch)'!C5)</f>
        <v>Thiết kế database (Database Design)</v>
      </c>
      <c r="D5" s="2">
        <v>0</v>
      </c>
      <c r="E5" s="2">
        <v>0</v>
      </c>
      <c r="F5" s="2">
        <v>0</v>
      </c>
      <c r="G5" s="2">
        <v>0.25</v>
      </c>
      <c r="H5" s="2">
        <v>0.63</v>
      </c>
      <c r="I5" s="2">
        <v>1</v>
      </c>
      <c r="J5" s="2">
        <v>1</v>
      </c>
      <c r="K5" s="2">
        <v>1</v>
      </c>
      <c r="L5" s="2">
        <v>1</v>
      </c>
      <c r="M5" s="2">
        <v>1</v>
      </c>
      <c r="N5" s="2">
        <v>1</v>
      </c>
      <c r="O5" s="2">
        <v>1</v>
      </c>
      <c r="P5" s="2">
        <v>1</v>
      </c>
      <c r="Q5" s="2">
        <v>1</v>
      </c>
      <c r="R5" s="2">
        <v>1</v>
      </c>
      <c r="S5" s="2">
        <v>1</v>
      </c>
      <c r="T5" s="2">
        <v>1</v>
      </c>
      <c r="U5" s="2">
        <v>1</v>
      </c>
      <c r="V5" s="2">
        <f t="shared" ref="V5:AA5" si="2">U5</f>
        <v>1</v>
      </c>
      <c r="W5" s="2">
        <f t="shared" si="2"/>
        <v>1</v>
      </c>
      <c r="X5" s="2">
        <f t="shared" si="2"/>
        <v>1</v>
      </c>
      <c r="Y5" s="2">
        <f t="shared" si="2"/>
        <v>1</v>
      </c>
      <c r="Z5" s="2">
        <f t="shared" si="2"/>
        <v>1</v>
      </c>
      <c r="AA5" s="2">
        <f t="shared" si="2"/>
        <v>1</v>
      </c>
      <c r="AB5" s="5"/>
    </row>
    <row r="6" spans="2:28" ht="21.95" customHeight="1">
      <c r="B6" s="2">
        <f>IF('PV (Kế hoạch)'!B6="","",'PV (Kế hoạch)'!B6)</f>
        <v>4</v>
      </c>
      <c r="C6" s="3" t="str">
        <f>IF('PV (Kế hoạch)'!C6="","",'PV (Kế hoạch)'!C6)</f>
        <v>Thiết kế UI/UX</v>
      </c>
      <c r="D6" s="2">
        <v>0</v>
      </c>
      <c r="E6" s="2">
        <v>0</v>
      </c>
      <c r="F6" s="2">
        <v>0</v>
      </c>
      <c r="G6" s="2">
        <v>0.2</v>
      </c>
      <c r="H6" s="2">
        <v>0.5</v>
      </c>
      <c r="I6" s="2">
        <v>0.8</v>
      </c>
      <c r="J6" s="2">
        <v>1</v>
      </c>
      <c r="K6" s="2">
        <v>1</v>
      </c>
      <c r="L6" s="2">
        <v>1</v>
      </c>
      <c r="M6" s="2">
        <v>1</v>
      </c>
      <c r="N6" s="2">
        <v>1</v>
      </c>
      <c r="O6" s="2">
        <v>1</v>
      </c>
      <c r="P6" s="2">
        <v>1</v>
      </c>
      <c r="Q6" s="2">
        <v>1</v>
      </c>
      <c r="R6" s="2">
        <v>1</v>
      </c>
      <c r="S6" s="2">
        <v>1</v>
      </c>
      <c r="T6" s="2">
        <v>1</v>
      </c>
      <c r="U6" s="2">
        <v>1</v>
      </c>
      <c r="V6" s="2">
        <f t="shared" ref="V6:AA6" si="3">U6</f>
        <v>1</v>
      </c>
      <c r="W6" s="2">
        <f t="shared" si="3"/>
        <v>1</v>
      </c>
      <c r="X6" s="2">
        <f t="shared" si="3"/>
        <v>1</v>
      </c>
      <c r="Y6" s="2">
        <f t="shared" si="3"/>
        <v>1</v>
      </c>
      <c r="Z6" s="2">
        <f t="shared" si="3"/>
        <v>1</v>
      </c>
      <c r="AA6" s="2">
        <f t="shared" si="3"/>
        <v>1</v>
      </c>
      <c r="AB6" s="5"/>
    </row>
    <row r="7" spans="2:28" ht="21.95" customHeight="1">
      <c r="B7" s="2">
        <f>IF('PV (Kế hoạch)'!B7="","",'PV (Kế hoạch)'!B7)</f>
        <v>5</v>
      </c>
      <c r="C7" s="3" t="str">
        <f>IF('PV (Kế hoạch)'!C7="","",'PV (Kế hoạch)'!C7)</f>
        <v>Phát triển Backend - Module User</v>
      </c>
      <c r="D7" s="2">
        <v>0</v>
      </c>
      <c r="E7" s="2">
        <v>0</v>
      </c>
      <c r="F7" s="2">
        <v>0</v>
      </c>
      <c r="G7" s="2">
        <v>0</v>
      </c>
      <c r="H7" s="2">
        <v>0</v>
      </c>
      <c r="I7" s="2">
        <v>0.1</v>
      </c>
      <c r="J7" s="2">
        <v>0.35</v>
      </c>
      <c r="K7" s="2">
        <v>0.6</v>
      </c>
      <c r="L7" s="2">
        <v>0.85</v>
      </c>
      <c r="M7" s="2">
        <v>1</v>
      </c>
      <c r="N7" s="2">
        <v>1</v>
      </c>
      <c r="O7" s="2">
        <v>1</v>
      </c>
      <c r="P7" s="2">
        <v>1</v>
      </c>
      <c r="Q7" s="2">
        <v>1</v>
      </c>
      <c r="R7" s="2">
        <v>1</v>
      </c>
      <c r="S7" s="2">
        <v>1</v>
      </c>
      <c r="T7" s="2">
        <v>1</v>
      </c>
      <c r="U7" s="2">
        <v>1</v>
      </c>
      <c r="V7" s="2">
        <f t="shared" ref="V7:AA7" si="4">U7</f>
        <v>1</v>
      </c>
      <c r="W7" s="2">
        <f t="shared" si="4"/>
        <v>1</v>
      </c>
      <c r="X7" s="2">
        <f t="shared" si="4"/>
        <v>1</v>
      </c>
      <c r="Y7" s="2">
        <f t="shared" si="4"/>
        <v>1</v>
      </c>
      <c r="Z7" s="2">
        <f t="shared" si="4"/>
        <v>1</v>
      </c>
      <c r="AA7" s="2">
        <f t="shared" si="4"/>
        <v>1</v>
      </c>
      <c r="AB7" s="5"/>
    </row>
    <row r="8" spans="2:28" ht="21.95" customHeight="1">
      <c r="B8" s="2">
        <f>IF('PV (Kế hoạch)'!B8="","",'PV (Kế hoạch)'!B8)</f>
        <v>6</v>
      </c>
      <c r="C8" s="3" t="str">
        <f>IF('PV (Kế hoạch)'!C8="","",'PV (Kế hoạch)'!C8)</f>
        <v>Phát triển Backend - Module Order</v>
      </c>
      <c r="D8" s="2">
        <v>0</v>
      </c>
      <c r="E8" s="2">
        <v>0</v>
      </c>
      <c r="F8" s="2">
        <v>0</v>
      </c>
      <c r="G8" s="2">
        <v>0</v>
      </c>
      <c r="H8" s="2">
        <v>0</v>
      </c>
      <c r="I8" s="2">
        <v>0</v>
      </c>
      <c r="J8" s="2">
        <v>0</v>
      </c>
      <c r="K8" s="2">
        <v>0.1</v>
      </c>
      <c r="L8" s="2">
        <v>0.35</v>
      </c>
      <c r="M8" s="2">
        <v>0.6</v>
      </c>
      <c r="N8" s="2">
        <v>0.85</v>
      </c>
      <c r="O8" s="2">
        <v>1</v>
      </c>
      <c r="P8" s="2">
        <v>1</v>
      </c>
      <c r="Q8" s="2">
        <v>1</v>
      </c>
      <c r="R8" s="2">
        <v>1</v>
      </c>
      <c r="S8" s="2">
        <v>1</v>
      </c>
      <c r="T8" s="2">
        <v>1</v>
      </c>
      <c r="U8" s="2">
        <v>1</v>
      </c>
      <c r="V8" s="2">
        <f t="shared" ref="V8:AA8" si="5">U8</f>
        <v>1</v>
      </c>
      <c r="W8" s="2">
        <f t="shared" si="5"/>
        <v>1</v>
      </c>
      <c r="X8" s="2">
        <f t="shared" si="5"/>
        <v>1</v>
      </c>
      <c r="Y8" s="2">
        <f t="shared" si="5"/>
        <v>1</v>
      </c>
      <c r="Z8" s="2">
        <f t="shared" si="5"/>
        <v>1</v>
      </c>
      <c r="AA8" s="2">
        <f t="shared" si="5"/>
        <v>1</v>
      </c>
      <c r="AB8" s="5"/>
    </row>
    <row r="9" spans="2:28" ht="21.95" customHeight="1">
      <c r="B9" s="2">
        <f>IF('PV (Kế hoạch)'!B9="","",'PV (Kế hoạch)'!B9)</f>
        <v>7</v>
      </c>
      <c r="C9" s="3" t="str">
        <f>IF('PV (Kế hoạch)'!C9="","",'PV (Kế hoạch)'!C9)</f>
        <v>Phát triển Backend - Module Payment</v>
      </c>
      <c r="D9" s="2">
        <v>0</v>
      </c>
      <c r="E9" s="2">
        <v>0</v>
      </c>
      <c r="F9" s="2">
        <v>0</v>
      </c>
      <c r="G9" s="2">
        <v>0</v>
      </c>
      <c r="H9" s="2">
        <v>0</v>
      </c>
      <c r="I9" s="2">
        <v>0</v>
      </c>
      <c r="J9" s="2">
        <v>0</v>
      </c>
      <c r="K9" s="2">
        <v>0</v>
      </c>
      <c r="L9" s="2">
        <v>0</v>
      </c>
      <c r="M9" s="2">
        <v>0.12</v>
      </c>
      <c r="N9" s="2">
        <v>0.41</v>
      </c>
      <c r="O9" s="2">
        <v>0.71</v>
      </c>
      <c r="P9" s="2">
        <v>1</v>
      </c>
      <c r="Q9" s="2">
        <v>1</v>
      </c>
      <c r="R9" s="2">
        <v>1</v>
      </c>
      <c r="S9" s="2">
        <v>1</v>
      </c>
      <c r="T9" s="2">
        <v>1</v>
      </c>
      <c r="U9" s="2">
        <v>1</v>
      </c>
      <c r="V9" s="2">
        <f t="shared" ref="V9:AA9" si="6">U9</f>
        <v>1</v>
      </c>
      <c r="W9" s="2">
        <f t="shared" si="6"/>
        <v>1</v>
      </c>
      <c r="X9" s="2">
        <f t="shared" si="6"/>
        <v>1</v>
      </c>
      <c r="Y9" s="2">
        <f t="shared" si="6"/>
        <v>1</v>
      </c>
      <c r="Z9" s="2">
        <f t="shared" si="6"/>
        <v>1</v>
      </c>
      <c r="AA9" s="2">
        <f t="shared" si="6"/>
        <v>1</v>
      </c>
      <c r="AB9" s="5"/>
    </row>
    <row r="10" spans="2:28" ht="21.95" customHeight="1">
      <c r="B10" s="2">
        <f>IF('PV (Kế hoạch)'!B10="","",'PV (Kế hoạch)'!B10)</f>
        <v>8</v>
      </c>
      <c r="C10" s="3" t="str">
        <f>IF('PV (Kế hoạch)'!C10="","",'PV (Kế hoạch)'!C10)</f>
        <v>Phát triển Backend - Module Report</v>
      </c>
      <c r="D10" s="2">
        <v>0</v>
      </c>
      <c r="E10" s="2">
        <v>0</v>
      </c>
      <c r="F10" s="2">
        <v>0</v>
      </c>
      <c r="G10" s="2">
        <v>0</v>
      </c>
      <c r="H10" s="2">
        <v>0</v>
      </c>
      <c r="I10" s="2">
        <v>0</v>
      </c>
      <c r="J10" s="2">
        <v>0</v>
      </c>
      <c r="K10" s="2">
        <v>0</v>
      </c>
      <c r="L10" s="2">
        <v>0</v>
      </c>
      <c r="M10" s="2">
        <v>0</v>
      </c>
      <c r="N10" s="2">
        <v>0</v>
      </c>
      <c r="O10" s="2">
        <v>0.13</v>
      </c>
      <c r="P10" s="2">
        <v>0.47</v>
      </c>
      <c r="Q10" s="2">
        <v>0.8</v>
      </c>
      <c r="R10" s="2">
        <v>1</v>
      </c>
      <c r="S10" s="2">
        <v>1</v>
      </c>
      <c r="T10" s="2">
        <v>1</v>
      </c>
      <c r="U10" s="2">
        <v>1</v>
      </c>
      <c r="V10" s="2">
        <f t="shared" ref="V10:AA10" si="7">U10</f>
        <v>1</v>
      </c>
      <c r="W10" s="2">
        <f t="shared" si="7"/>
        <v>1</v>
      </c>
      <c r="X10" s="2">
        <f t="shared" si="7"/>
        <v>1</v>
      </c>
      <c r="Y10" s="2">
        <f t="shared" si="7"/>
        <v>1</v>
      </c>
      <c r="Z10" s="2">
        <f t="shared" si="7"/>
        <v>1</v>
      </c>
      <c r="AA10" s="2">
        <f t="shared" si="7"/>
        <v>1</v>
      </c>
      <c r="AB10" s="5"/>
    </row>
    <row r="11" spans="2:28" ht="21.95" customHeight="1">
      <c r="B11" s="2">
        <f>IF('PV (Kế hoạch)'!B11="","",'PV (Kế hoạch)'!B11)</f>
        <v>9</v>
      </c>
      <c r="C11" s="3" t="str">
        <f>IF('PV (Kế hoạch)'!C11="","",'PV (Kế hoạch)'!C11)</f>
        <v>Phát triển Frontend - Trang chủ</v>
      </c>
      <c r="D11" s="2">
        <v>0</v>
      </c>
      <c r="E11" s="2">
        <v>0</v>
      </c>
      <c r="F11" s="2">
        <v>0</v>
      </c>
      <c r="G11" s="2">
        <v>0</v>
      </c>
      <c r="H11" s="2">
        <v>0</v>
      </c>
      <c r="I11" s="2">
        <v>0</v>
      </c>
      <c r="J11" s="2">
        <v>0.25</v>
      </c>
      <c r="K11" s="2">
        <v>0.63</v>
      </c>
      <c r="L11" s="2">
        <v>1</v>
      </c>
      <c r="M11" s="2">
        <v>1</v>
      </c>
      <c r="N11" s="2">
        <v>1</v>
      </c>
      <c r="O11" s="2">
        <v>1</v>
      </c>
      <c r="P11" s="2">
        <v>1</v>
      </c>
      <c r="Q11" s="2">
        <v>1</v>
      </c>
      <c r="R11" s="2">
        <v>1</v>
      </c>
      <c r="S11" s="2">
        <v>1</v>
      </c>
      <c r="T11" s="2">
        <v>1</v>
      </c>
      <c r="U11" s="2">
        <v>1</v>
      </c>
      <c r="V11" s="2">
        <f t="shared" ref="V11:AA11" si="8">U11</f>
        <v>1</v>
      </c>
      <c r="W11" s="2">
        <f t="shared" si="8"/>
        <v>1</v>
      </c>
      <c r="X11" s="2">
        <f t="shared" si="8"/>
        <v>1</v>
      </c>
      <c r="Y11" s="2">
        <f t="shared" si="8"/>
        <v>1</v>
      </c>
      <c r="Z11" s="2">
        <f t="shared" si="8"/>
        <v>1</v>
      </c>
      <c r="AA11" s="2">
        <f t="shared" si="8"/>
        <v>1</v>
      </c>
      <c r="AB11" s="5"/>
    </row>
    <row r="12" spans="2:28" ht="21.95" customHeight="1">
      <c r="B12" s="2">
        <f>IF('PV (Kế hoạch)'!B12="","",'PV (Kế hoạch)'!B12)</f>
        <v>10</v>
      </c>
      <c r="C12" s="3" t="str">
        <f>IF('PV (Kế hoạch)'!C12="","",'PV (Kế hoạch)'!C12)</f>
        <v>Phát triển Frontend - Module User</v>
      </c>
      <c r="D12" s="2">
        <v>0</v>
      </c>
      <c r="E12" s="2">
        <v>0</v>
      </c>
      <c r="F12" s="2">
        <v>0</v>
      </c>
      <c r="G12" s="2">
        <v>0</v>
      </c>
      <c r="H12" s="2">
        <v>0</v>
      </c>
      <c r="I12" s="2">
        <v>0</v>
      </c>
      <c r="J12" s="2">
        <v>0</v>
      </c>
      <c r="K12" s="2">
        <v>0</v>
      </c>
      <c r="L12" s="2">
        <v>0.13</v>
      </c>
      <c r="M12" s="2">
        <v>0.47</v>
      </c>
      <c r="N12" s="2">
        <v>0.8</v>
      </c>
      <c r="O12" s="2">
        <v>1</v>
      </c>
      <c r="P12" s="2">
        <v>1</v>
      </c>
      <c r="Q12" s="2">
        <v>1</v>
      </c>
      <c r="R12" s="2">
        <v>1</v>
      </c>
      <c r="S12" s="2">
        <v>1</v>
      </c>
      <c r="T12" s="2">
        <v>1</v>
      </c>
      <c r="U12" s="2">
        <v>1</v>
      </c>
      <c r="V12" s="2">
        <f t="shared" ref="V12:AA12" si="9">U12</f>
        <v>1</v>
      </c>
      <c r="W12" s="2">
        <f t="shared" si="9"/>
        <v>1</v>
      </c>
      <c r="X12" s="2">
        <f t="shared" si="9"/>
        <v>1</v>
      </c>
      <c r="Y12" s="2">
        <f t="shared" si="9"/>
        <v>1</v>
      </c>
      <c r="Z12" s="2">
        <f t="shared" si="9"/>
        <v>1</v>
      </c>
      <c r="AA12" s="2">
        <f t="shared" si="9"/>
        <v>1</v>
      </c>
      <c r="AB12" s="5"/>
    </row>
    <row r="13" spans="2:28" ht="21.95" customHeight="1">
      <c r="B13" s="2">
        <f>IF('PV (Kế hoạch)'!B13="","",'PV (Kế hoạch)'!B13)</f>
        <v>11</v>
      </c>
      <c r="C13" s="3" t="str">
        <f>IF('PV (Kế hoạch)'!C13="","",'PV (Kế hoạch)'!C13)</f>
        <v>Phát triển Frontend - Module Order</v>
      </c>
      <c r="D13" s="2">
        <v>0</v>
      </c>
      <c r="E13" s="2">
        <v>0</v>
      </c>
      <c r="F13" s="2">
        <v>0</v>
      </c>
      <c r="G13" s="2">
        <v>0</v>
      </c>
      <c r="H13" s="2">
        <v>0</v>
      </c>
      <c r="I13" s="2">
        <v>0</v>
      </c>
      <c r="J13" s="2">
        <v>0</v>
      </c>
      <c r="K13" s="2">
        <v>0</v>
      </c>
      <c r="L13" s="2">
        <v>0</v>
      </c>
      <c r="M13" s="2">
        <v>0</v>
      </c>
      <c r="N13" s="2">
        <v>0.13</v>
      </c>
      <c r="O13" s="2">
        <v>0.47</v>
      </c>
      <c r="P13" s="2">
        <v>0.8</v>
      </c>
      <c r="Q13" s="2">
        <v>1</v>
      </c>
      <c r="R13" s="2">
        <v>1</v>
      </c>
      <c r="S13" s="2">
        <v>1</v>
      </c>
      <c r="T13" s="2">
        <v>1</v>
      </c>
      <c r="U13" s="2">
        <v>1</v>
      </c>
      <c r="V13" s="2">
        <f t="shared" ref="V13:AA13" si="10">U13</f>
        <v>1</v>
      </c>
      <c r="W13" s="2">
        <f t="shared" si="10"/>
        <v>1</v>
      </c>
      <c r="X13" s="2">
        <f t="shared" si="10"/>
        <v>1</v>
      </c>
      <c r="Y13" s="2">
        <f t="shared" si="10"/>
        <v>1</v>
      </c>
      <c r="Z13" s="2">
        <f t="shared" si="10"/>
        <v>1</v>
      </c>
      <c r="AA13" s="2">
        <f t="shared" si="10"/>
        <v>1</v>
      </c>
      <c r="AB13" s="5"/>
    </row>
    <row r="14" spans="2:28" ht="21.95" customHeight="1">
      <c r="B14" s="2">
        <f>IF('PV (Kế hoạch)'!B14="","",'PV (Kế hoạch)'!B14)</f>
        <v>12</v>
      </c>
      <c r="C14" s="3" t="str">
        <f>IF('PV (Kế hoạch)'!C14="","",'PV (Kế hoạch)'!C14)</f>
        <v>Phát triển Frontend - Module Payment</v>
      </c>
      <c r="D14" s="2">
        <v>0</v>
      </c>
      <c r="E14" s="2">
        <v>0</v>
      </c>
      <c r="F14" s="2">
        <v>0</v>
      </c>
      <c r="G14" s="2">
        <v>0</v>
      </c>
      <c r="H14" s="2">
        <v>0</v>
      </c>
      <c r="I14" s="2">
        <v>0</v>
      </c>
      <c r="J14" s="2">
        <v>0</v>
      </c>
      <c r="K14" s="2">
        <v>0</v>
      </c>
      <c r="L14" s="2">
        <v>0</v>
      </c>
      <c r="M14" s="2">
        <v>0</v>
      </c>
      <c r="N14" s="2">
        <v>0</v>
      </c>
      <c r="O14" s="2">
        <v>0</v>
      </c>
      <c r="P14" s="2">
        <v>0.17</v>
      </c>
      <c r="Q14" s="2">
        <v>0.57999999999999996</v>
      </c>
      <c r="R14" s="2">
        <v>1</v>
      </c>
      <c r="S14" s="2">
        <v>1</v>
      </c>
      <c r="T14" s="2">
        <v>1</v>
      </c>
      <c r="U14" s="2">
        <v>1</v>
      </c>
      <c r="V14" s="2">
        <f t="shared" ref="V14:AA14" si="11">U14</f>
        <v>1</v>
      </c>
      <c r="W14" s="2">
        <f t="shared" si="11"/>
        <v>1</v>
      </c>
      <c r="X14" s="2">
        <f t="shared" si="11"/>
        <v>1</v>
      </c>
      <c r="Y14" s="2">
        <f t="shared" si="11"/>
        <v>1</v>
      </c>
      <c r="Z14" s="2">
        <f t="shared" si="11"/>
        <v>1</v>
      </c>
      <c r="AA14" s="2">
        <f t="shared" si="11"/>
        <v>1</v>
      </c>
      <c r="AB14" s="5"/>
    </row>
    <row r="15" spans="2:28" ht="21.95" customHeight="1">
      <c r="B15" s="2">
        <f>IF('PV (Kế hoạch)'!B15="","",'PV (Kế hoạch)'!B15)</f>
        <v>13</v>
      </c>
      <c r="C15" s="3" t="str">
        <f>IF('PV (Kế hoạch)'!C15="","",'PV (Kế hoạch)'!C15)</f>
        <v>Phát triển Frontend - Module Report</v>
      </c>
      <c r="D15" s="2">
        <v>0</v>
      </c>
      <c r="E15" s="2">
        <v>0</v>
      </c>
      <c r="F15" s="2">
        <v>0</v>
      </c>
      <c r="G15" s="2">
        <v>0</v>
      </c>
      <c r="H15" s="2">
        <v>0</v>
      </c>
      <c r="I15" s="2">
        <v>0</v>
      </c>
      <c r="J15" s="2">
        <v>0</v>
      </c>
      <c r="K15" s="2">
        <v>0</v>
      </c>
      <c r="L15" s="2">
        <v>0</v>
      </c>
      <c r="M15" s="2">
        <v>0</v>
      </c>
      <c r="N15" s="2">
        <v>0</v>
      </c>
      <c r="O15" s="2">
        <v>0</v>
      </c>
      <c r="P15" s="2">
        <v>0</v>
      </c>
      <c r="Q15" s="2">
        <v>0</v>
      </c>
      <c r="R15" s="2">
        <v>0.2</v>
      </c>
      <c r="S15" s="2">
        <v>0.7</v>
      </c>
      <c r="T15" s="2">
        <v>1</v>
      </c>
      <c r="U15" s="2">
        <v>1</v>
      </c>
      <c r="V15" s="2">
        <f t="shared" ref="V15:AA15" si="12">U15</f>
        <v>1</v>
      </c>
      <c r="W15" s="2">
        <f t="shared" si="12"/>
        <v>1</v>
      </c>
      <c r="X15" s="2">
        <f t="shared" si="12"/>
        <v>1</v>
      </c>
      <c r="Y15" s="2">
        <f t="shared" si="12"/>
        <v>1</v>
      </c>
      <c r="Z15" s="2">
        <f t="shared" si="12"/>
        <v>1</v>
      </c>
      <c r="AA15" s="2">
        <f t="shared" si="12"/>
        <v>1</v>
      </c>
      <c r="AB15" s="5"/>
    </row>
    <row r="16" spans="2:28" ht="21.95" customHeight="1">
      <c r="B16" s="2">
        <f>IF('PV (Kế hoạch)'!B16="","",'PV (Kế hoạch)'!B16)</f>
        <v>14</v>
      </c>
      <c r="C16" s="3" t="str">
        <f>IF('PV (Kế hoạch)'!C16="","",'PV (Kế hoạch)'!C16)</f>
        <v>Tích hợp API bên thứ 3</v>
      </c>
      <c r="D16" s="2">
        <v>0</v>
      </c>
      <c r="E16" s="2">
        <v>0</v>
      </c>
      <c r="F16" s="2">
        <v>0</v>
      </c>
      <c r="G16" s="2">
        <v>0</v>
      </c>
      <c r="H16" s="2">
        <v>0</v>
      </c>
      <c r="I16" s="2">
        <v>0</v>
      </c>
      <c r="J16" s="2">
        <v>0</v>
      </c>
      <c r="K16" s="2">
        <v>0</v>
      </c>
      <c r="L16" s="2">
        <v>0</v>
      </c>
      <c r="M16" s="2">
        <v>0</v>
      </c>
      <c r="N16" s="2">
        <v>0</v>
      </c>
      <c r="O16" s="2">
        <v>0</v>
      </c>
      <c r="P16" s="2">
        <v>0</v>
      </c>
      <c r="Q16" s="2">
        <v>0.25</v>
      </c>
      <c r="R16" s="2">
        <v>0.63</v>
      </c>
      <c r="S16" s="2">
        <v>1</v>
      </c>
      <c r="T16" s="2">
        <v>1</v>
      </c>
      <c r="U16" s="2">
        <v>1</v>
      </c>
      <c r="V16" s="2">
        <f t="shared" ref="V16:AA16" si="13">U16</f>
        <v>1</v>
      </c>
      <c r="W16" s="2">
        <f t="shared" si="13"/>
        <v>1</v>
      </c>
      <c r="X16" s="2">
        <f t="shared" si="13"/>
        <v>1</v>
      </c>
      <c r="Y16" s="2">
        <f t="shared" si="13"/>
        <v>1</v>
      </c>
      <c r="Z16" s="2">
        <f t="shared" si="13"/>
        <v>1</v>
      </c>
      <c r="AA16" s="2">
        <f t="shared" si="13"/>
        <v>1</v>
      </c>
      <c r="AB16" s="5"/>
    </row>
    <row r="17" spans="2:28" ht="21.95" customHeight="1">
      <c r="B17" s="2">
        <f>IF('PV (Kế hoạch)'!B17="","",'PV (Kế hoạch)'!B17)</f>
        <v>15</v>
      </c>
      <c r="C17" s="3" t="str">
        <f>IF('PV (Kế hoạch)'!C17="","",'PV (Kế hoạch)'!C17)</f>
        <v>Unit Testing</v>
      </c>
      <c r="D17" s="2">
        <v>0</v>
      </c>
      <c r="E17" s="2">
        <v>0</v>
      </c>
      <c r="F17" s="2">
        <v>0</v>
      </c>
      <c r="G17" s="2">
        <v>0</v>
      </c>
      <c r="H17" s="2">
        <v>0</v>
      </c>
      <c r="I17" s="2">
        <v>0</v>
      </c>
      <c r="J17" s="2">
        <v>0</v>
      </c>
      <c r="K17" s="2">
        <v>0</v>
      </c>
      <c r="L17" s="2">
        <v>0</v>
      </c>
      <c r="M17" s="2">
        <v>0.08</v>
      </c>
      <c r="N17" s="2">
        <v>0.17</v>
      </c>
      <c r="O17" s="2">
        <v>0.25</v>
      </c>
      <c r="P17" s="2">
        <v>0.33</v>
      </c>
      <c r="Q17" s="2">
        <v>0.5</v>
      </c>
      <c r="R17" s="2">
        <v>0.67</v>
      </c>
      <c r="S17" s="2">
        <v>0.83</v>
      </c>
      <c r="T17" s="2">
        <v>1</v>
      </c>
      <c r="U17" s="2">
        <v>1</v>
      </c>
      <c r="V17" s="2">
        <f t="shared" ref="V17:AA17" si="14">U17</f>
        <v>1</v>
      </c>
      <c r="W17" s="2">
        <f t="shared" si="14"/>
        <v>1</v>
      </c>
      <c r="X17" s="2">
        <f t="shared" si="14"/>
        <v>1</v>
      </c>
      <c r="Y17" s="2">
        <f t="shared" si="14"/>
        <v>1</v>
      </c>
      <c r="Z17" s="2">
        <f t="shared" si="14"/>
        <v>1</v>
      </c>
      <c r="AA17" s="2">
        <f t="shared" si="14"/>
        <v>1</v>
      </c>
      <c r="AB17" s="5"/>
    </row>
    <row r="18" spans="2:28" ht="21.95" customHeight="1">
      <c r="B18" s="2">
        <f>IF('PV (Kế hoạch)'!B18="","",'PV (Kế hoạch)'!B18)</f>
        <v>16</v>
      </c>
      <c r="C18" s="3" t="str">
        <f>IF('PV (Kế hoạch)'!C18="","",'PV (Kế hoạch)'!C18)</f>
        <v>Integration Testing</v>
      </c>
      <c r="D18" s="2">
        <v>0</v>
      </c>
      <c r="E18" s="2">
        <v>0</v>
      </c>
      <c r="F18" s="2">
        <v>0</v>
      </c>
      <c r="G18" s="2">
        <v>0</v>
      </c>
      <c r="H18" s="2">
        <v>0</v>
      </c>
      <c r="I18" s="2">
        <v>0</v>
      </c>
      <c r="J18" s="2">
        <v>0</v>
      </c>
      <c r="K18" s="2">
        <v>0</v>
      </c>
      <c r="L18" s="2">
        <v>0</v>
      </c>
      <c r="M18" s="2">
        <v>0</v>
      </c>
      <c r="N18" s="2">
        <v>0</v>
      </c>
      <c r="O18" s="2">
        <v>0</v>
      </c>
      <c r="P18" s="2">
        <v>0</v>
      </c>
      <c r="Q18" s="2">
        <v>0</v>
      </c>
      <c r="R18" s="2">
        <v>0</v>
      </c>
      <c r="S18" s="2">
        <v>0.25</v>
      </c>
      <c r="T18" s="2">
        <v>0.63</v>
      </c>
      <c r="U18" s="2">
        <v>1</v>
      </c>
      <c r="V18" s="2">
        <f t="shared" ref="V18:AA18" si="15">U18</f>
        <v>1</v>
      </c>
      <c r="W18" s="2">
        <f t="shared" si="15"/>
        <v>1</v>
      </c>
      <c r="X18" s="2">
        <f t="shared" si="15"/>
        <v>1</v>
      </c>
      <c r="Y18" s="2">
        <f t="shared" si="15"/>
        <v>1</v>
      </c>
      <c r="Z18" s="2">
        <f t="shared" si="15"/>
        <v>1</v>
      </c>
      <c r="AA18" s="2">
        <f t="shared" si="15"/>
        <v>1</v>
      </c>
      <c r="AB18" s="5"/>
    </row>
    <row r="19" spans="2:28" ht="21.95" customHeight="1">
      <c r="B19" s="2">
        <f>IF('PV (Kế hoạch)'!B19="","",'PV (Kế hoạch)'!B19)</f>
        <v>17</v>
      </c>
      <c r="C19" s="3" t="str">
        <f>IF('PV (Kế hoạch)'!C19="","",'PV (Kế hoạch)'!C19)</f>
        <v>System Testing</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0.17</v>
      </c>
      <c r="V19" s="2">
        <f t="shared" ref="V19:AA19" si="16">U19</f>
        <v>0.17</v>
      </c>
      <c r="W19" s="2">
        <f t="shared" si="16"/>
        <v>0.17</v>
      </c>
      <c r="X19" s="2">
        <f t="shared" si="16"/>
        <v>0.17</v>
      </c>
      <c r="Y19" s="2">
        <f t="shared" si="16"/>
        <v>0.17</v>
      </c>
      <c r="Z19" s="2">
        <f t="shared" si="16"/>
        <v>0.17</v>
      </c>
      <c r="AA19" s="2">
        <f t="shared" si="16"/>
        <v>0.17</v>
      </c>
      <c r="AB19" s="5"/>
    </row>
    <row r="20" spans="2:28" ht="21.95" customHeight="1">
      <c r="B20" s="2">
        <f>IF('PV (Kế hoạch)'!B20="","",'PV (Kế hoạch)'!B20)</f>
        <v>18</v>
      </c>
      <c r="C20" s="3" t="str">
        <f>IF('PV (Kế hoạch)'!C20="","",'PV (Kế hoạch)'!C20)</f>
        <v>UAT (User Acceptance Testing)</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f t="shared" ref="V20:AA20" si="17">U20</f>
        <v>0</v>
      </c>
      <c r="W20" s="2">
        <f t="shared" si="17"/>
        <v>0</v>
      </c>
      <c r="X20" s="2">
        <f t="shared" si="17"/>
        <v>0</v>
      </c>
      <c r="Y20" s="2">
        <f t="shared" si="17"/>
        <v>0</v>
      </c>
      <c r="Z20" s="2">
        <f t="shared" si="17"/>
        <v>0</v>
      </c>
      <c r="AA20" s="2">
        <f t="shared" si="17"/>
        <v>0</v>
      </c>
      <c r="AB20" s="5"/>
    </row>
    <row r="21" spans="2:28" ht="21.95" customHeight="1">
      <c r="B21" s="2">
        <f>IF('PV (Kế hoạch)'!B21="","",'PV (Kế hoạch)'!B21)</f>
        <v>19</v>
      </c>
      <c r="C21" s="3" t="str">
        <f>IF('PV (Kế hoạch)'!C21="","",'PV (Kế hoạch)'!C21)</f>
        <v>Bug fixing</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f t="shared" ref="V21:AA21" si="18">U21</f>
        <v>0</v>
      </c>
      <c r="W21" s="2">
        <f t="shared" si="18"/>
        <v>0</v>
      </c>
      <c r="X21" s="2">
        <f t="shared" si="18"/>
        <v>0</v>
      </c>
      <c r="Y21" s="2">
        <f t="shared" si="18"/>
        <v>0</v>
      </c>
      <c r="Z21" s="2">
        <f t="shared" si="18"/>
        <v>0</v>
      </c>
      <c r="AA21" s="2">
        <f t="shared" si="18"/>
        <v>0</v>
      </c>
      <c r="AB21" s="5"/>
    </row>
    <row r="22" spans="2:28" ht="21.95" customHeight="1">
      <c r="B22" s="2">
        <f>IF('PV (Kế hoạch)'!B22="","",'PV (Kế hoạch)'!B22)</f>
        <v>20</v>
      </c>
      <c r="C22" s="3" t="str">
        <f>IF('PV (Kế hoạch)'!C22="","",'PV (Kế hoạch)'!C22)</f>
        <v>Performance Optimization</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f t="shared" ref="V22:AA22" si="19">U22</f>
        <v>0</v>
      </c>
      <c r="W22" s="2">
        <f t="shared" si="19"/>
        <v>0</v>
      </c>
      <c r="X22" s="2">
        <f t="shared" si="19"/>
        <v>0</v>
      </c>
      <c r="Y22" s="2">
        <f t="shared" si="19"/>
        <v>0</v>
      </c>
      <c r="Z22" s="2">
        <f t="shared" si="19"/>
        <v>0</v>
      </c>
      <c r="AA22" s="2">
        <f t="shared" si="19"/>
        <v>0</v>
      </c>
      <c r="AB22" s="5"/>
    </row>
    <row r="23" spans="2:28" ht="21.95" customHeight="1">
      <c r="B23" s="2">
        <f>IF('PV (Kế hoạch)'!B23="","",'PV (Kế hoạch)'!B23)</f>
        <v>21</v>
      </c>
      <c r="C23" s="3" t="str">
        <f>IF('PV (Kế hoạch)'!C23="","",'PV (Kế hoạch)'!C23)</f>
        <v>Security Review</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f t="shared" ref="V23:AA23" si="20">U23</f>
        <v>0</v>
      </c>
      <c r="W23" s="2">
        <f t="shared" si="20"/>
        <v>0</v>
      </c>
      <c r="X23" s="2">
        <f t="shared" si="20"/>
        <v>0</v>
      </c>
      <c r="Y23" s="2">
        <f t="shared" si="20"/>
        <v>0</v>
      </c>
      <c r="Z23" s="2">
        <f t="shared" si="20"/>
        <v>0</v>
      </c>
      <c r="AA23" s="2">
        <f t="shared" si="20"/>
        <v>0</v>
      </c>
      <c r="AB23" s="5"/>
    </row>
    <row r="24" spans="2:28" ht="21.95" customHeight="1">
      <c r="B24" s="2">
        <f>IF('PV (Kế hoạch)'!B24="","",'PV (Kế hoạch)'!B24)</f>
        <v>22</v>
      </c>
      <c r="C24" s="3" t="str">
        <f>IF('PV (Kế hoạch)'!C24="","",'PV (Kế hoạch)'!C24)</f>
        <v>Documentation</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0.13</v>
      </c>
      <c r="V24" s="2">
        <f t="shared" ref="V24:AA24" si="21">U24</f>
        <v>0.13</v>
      </c>
      <c r="W24" s="2">
        <f t="shared" si="21"/>
        <v>0.13</v>
      </c>
      <c r="X24" s="2">
        <f t="shared" si="21"/>
        <v>0.13</v>
      </c>
      <c r="Y24" s="2">
        <f t="shared" si="21"/>
        <v>0.13</v>
      </c>
      <c r="Z24" s="2">
        <f t="shared" si="21"/>
        <v>0.13</v>
      </c>
      <c r="AA24" s="2">
        <f t="shared" si="21"/>
        <v>0.13</v>
      </c>
      <c r="AB24" s="5"/>
    </row>
    <row r="25" spans="2:28" ht="21.95" customHeight="1">
      <c r="B25" s="2">
        <f>IF('PV (Kế hoạch)'!B25="","",'PV (Kế hoạch)'!B25)</f>
        <v>23</v>
      </c>
      <c r="C25" s="3" t="str">
        <f>IF('PV (Kế hoạch)'!C25="","",'PV (Kế hoạch)'!C25)</f>
        <v>Training</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f t="shared" ref="V25:AA25" si="22">U25</f>
        <v>0</v>
      </c>
      <c r="W25" s="2">
        <f t="shared" si="22"/>
        <v>0</v>
      </c>
      <c r="X25" s="2">
        <f t="shared" si="22"/>
        <v>0</v>
      </c>
      <c r="Y25" s="2">
        <f t="shared" si="22"/>
        <v>0</v>
      </c>
      <c r="Z25" s="2">
        <f t="shared" si="22"/>
        <v>0</v>
      </c>
      <c r="AA25" s="2">
        <f t="shared" si="22"/>
        <v>0</v>
      </c>
      <c r="AB25" s="5"/>
    </row>
    <row r="26" spans="2:28" ht="21.95" customHeight="1">
      <c r="B26" s="2">
        <f>IF('PV (Kế hoạch)'!B26="","",'PV (Kế hoạch)'!B26)</f>
        <v>24</v>
      </c>
      <c r="C26" s="3" t="str">
        <f>IF('PV (Kế hoạch)'!C26="","",'PV (Kế hoạch)'!C26)</f>
        <v>Deployment</v>
      </c>
      <c r="D26" s="2">
        <v>0</v>
      </c>
      <c r="E26" s="2">
        <v>0</v>
      </c>
      <c r="F26" s="2">
        <v>0</v>
      </c>
      <c r="G26" s="2">
        <v>0</v>
      </c>
      <c r="H26" s="2">
        <v>0</v>
      </c>
      <c r="I26" s="2">
        <v>0</v>
      </c>
      <c r="J26" s="2">
        <v>0</v>
      </c>
      <c r="K26" s="2">
        <v>0</v>
      </c>
      <c r="L26" s="2">
        <v>0</v>
      </c>
      <c r="M26" s="2">
        <v>0</v>
      </c>
      <c r="N26" s="2">
        <v>0</v>
      </c>
      <c r="O26" s="2">
        <v>0</v>
      </c>
      <c r="P26" s="2">
        <v>0</v>
      </c>
      <c r="Q26" s="2">
        <v>0</v>
      </c>
      <c r="R26" s="2">
        <v>0</v>
      </c>
      <c r="S26" s="2">
        <v>0</v>
      </c>
      <c r="T26" s="2">
        <v>0</v>
      </c>
      <c r="U26" s="2">
        <v>0</v>
      </c>
      <c r="V26" s="2">
        <f t="shared" ref="V26:AA26" si="23">U26</f>
        <v>0</v>
      </c>
      <c r="W26" s="2">
        <f t="shared" si="23"/>
        <v>0</v>
      </c>
      <c r="X26" s="2">
        <f t="shared" si="23"/>
        <v>0</v>
      </c>
      <c r="Y26" s="2">
        <f t="shared" si="23"/>
        <v>0</v>
      </c>
      <c r="Z26" s="2">
        <f t="shared" si="23"/>
        <v>0</v>
      </c>
      <c r="AA26" s="2">
        <f t="shared" si="23"/>
        <v>0</v>
      </c>
      <c r="AB26" s="5"/>
    </row>
    <row r="27" spans="2:28" ht="21.95" customHeight="1">
      <c r="B27" s="2">
        <f>IF('PV (Kế hoạch)'!B27="","",'PV (Kế hoạch)'!B27)</f>
        <v>25</v>
      </c>
      <c r="C27" s="3" t="str">
        <f>IF('PV (Kế hoạch)'!C27="","",'PV (Kế hoạch)'!C27)</f>
        <v>Go-live Support</v>
      </c>
      <c r="D27" s="2">
        <v>0</v>
      </c>
      <c r="E27" s="2">
        <v>0</v>
      </c>
      <c r="F27" s="2">
        <v>0</v>
      </c>
      <c r="G27" s="2">
        <v>0</v>
      </c>
      <c r="H27" s="2">
        <v>0</v>
      </c>
      <c r="I27" s="2">
        <v>0</v>
      </c>
      <c r="J27" s="2">
        <v>0</v>
      </c>
      <c r="K27" s="2">
        <v>0</v>
      </c>
      <c r="L27" s="2">
        <v>0</v>
      </c>
      <c r="M27" s="2">
        <v>0</v>
      </c>
      <c r="N27" s="2">
        <v>0</v>
      </c>
      <c r="O27" s="2">
        <v>0</v>
      </c>
      <c r="P27" s="2">
        <v>0</v>
      </c>
      <c r="Q27" s="2">
        <v>0</v>
      </c>
      <c r="R27" s="2">
        <v>0</v>
      </c>
      <c r="S27" s="2">
        <v>0</v>
      </c>
      <c r="T27" s="2">
        <v>0</v>
      </c>
      <c r="U27" s="2">
        <v>0</v>
      </c>
      <c r="V27" s="2">
        <f t="shared" ref="V27:AA27" si="24">U27</f>
        <v>0</v>
      </c>
      <c r="W27" s="2">
        <f t="shared" si="24"/>
        <v>0</v>
      </c>
      <c r="X27" s="2">
        <f t="shared" si="24"/>
        <v>0</v>
      </c>
      <c r="Y27" s="2">
        <f t="shared" si="24"/>
        <v>0</v>
      </c>
      <c r="Z27" s="2">
        <f t="shared" si="24"/>
        <v>0</v>
      </c>
      <c r="AA27" s="2">
        <f t="shared" si="24"/>
        <v>0</v>
      </c>
      <c r="AB27" s="5"/>
    </row>
    <row r="28" spans="2:28" ht="21.95" customHeight="1">
      <c r="B28" s="2">
        <f>IF('PV (Kế hoạch)'!B28="","",'PV (Kế hoạch)'!B28)</f>
        <v>26</v>
      </c>
      <c r="C28" s="3" t="str">
        <f>IF('PV (Kế hoạch)'!C28="","",'PV (Kế hoạch)'!C28)</f>
        <v/>
      </c>
      <c r="D28" s="2"/>
      <c r="E28" s="2"/>
      <c r="F28" s="2"/>
      <c r="G28" s="2"/>
      <c r="H28" s="2"/>
      <c r="I28" s="2"/>
      <c r="J28" s="2"/>
      <c r="K28" s="2"/>
      <c r="L28" s="2"/>
      <c r="M28" s="2"/>
      <c r="N28" s="2"/>
      <c r="O28" s="2"/>
      <c r="P28" s="2"/>
      <c r="Q28" s="2"/>
      <c r="R28" s="2"/>
      <c r="S28" s="2"/>
      <c r="T28" s="2"/>
      <c r="U28" s="2"/>
      <c r="V28" s="2"/>
      <c r="W28" s="2"/>
      <c r="X28" s="2"/>
      <c r="Y28" s="2"/>
      <c r="Z28" s="2"/>
      <c r="AA28" s="2"/>
      <c r="AB28" s="5"/>
    </row>
    <row r="29" spans="2:28" ht="21.95" customHeight="1">
      <c r="B29" s="2">
        <f>IF('PV (Kế hoạch)'!B29="","",'PV (Kế hoạch)'!B29)</f>
        <v>27</v>
      </c>
      <c r="C29" s="3" t="str">
        <f>IF('PV (Kế hoạch)'!C29="","",'PV (Kế hoạch)'!C29)</f>
        <v/>
      </c>
      <c r="D29" s="2"/>
      <c r="E29" s="2"/>
      <c r="F29" s="2"/>
      <c r="G29" s="2"/>
      <c r="H29" s="2"/>
      <c r="I29" s="2"/>
      <c r="J29" s="2"/>
      <c r="K29" s="2"/>
      <c r="L29" s="2"/>
      <c r="M29" s="2"/>
      <c r="N29" s="2"/>
      <c r="O29" s="2"/>
      <c r="P29" s="2"/>
      <c r="Q29" s="2"/>
      <c r="R29" s="2"/>
      <c r="S29" s="2"/>
      <c r="T29" s="2"/>
      <c r="U29" s="2"/>
      <c r="V29" s="2"/>
      <c r="W29" s="2"/>
      <c r="X29" s="2"/>
      <c r="Y29" s="2"/>
      <c r="Z29" s="2"/>
      <c r="AA29" s="2"/>
      <c r="AB29" s="5"/>
    </row>
    <row r="30" spans="2:28" ht="21.95" customHeight="1">
      <c r="B30" s="2">
        <f>IF('PV (Kế hoạch)'!B30="","",'PV (Kế hoạch)'!B30)</f>
        <v>28</v>
      </c>
      <c r="C30" s="3" t="str">
        <f>IF('PV (Kế hoạch)'!C30="","",'PV (Kế hoạch)'!C30)</f>
        <v/>
      </c>
      <c r="D30" s="2"/>
      <c r="E30" s="2"/>
      <c r="F30" s="2"/>
      <c r="G30" s="2"/>
      <c r="H30" s="2"/>
      <c r="I30" s="2"/>
      <c r="J30" s="2"/>
      <c r="K30" s="2"/>
      <c r="L30" s="2"/>
      <c r="M30" s="2"/>
      <c r="N30" s="2"/>
      <c r="O30" s="2"/>
      <c r="P30" s="2"/>
      <c r="Q30" s="2"/>
      <c r="R30" s="2"/>
      <c r="S30" s="2"/>
      <c r="T30" s="2"/>
      <c r="U30" s="2"/>
      <c r="V30" s="2"/>
      <c r="W30" s="2"/>
      <c r="X30" s="2"/>
      <c r="Y30" s="2"/>
      <c r="Z30" s="2"/>
      <c r="AA30" s="2"/>
      <c r="AB30" s="5"/>
    </row>
    <row r="31" spans="2:28" ht="21.95" customHeight="1">
      <c r="B31" s="2">
        <f>IF('PV (Kế hoạch)'!B31="","",'PV (Kế hoạch)'!B31)</f>
        <v>29</v>
      </c>
      <c r="C31" s="3" t="str">
        <f>IF('PV (Kế hoạch)'!C31="","",'PV (Kế hoạch)'!C31)</f>
        <v/>
      </c>
      <c r="D31" s="2"/>
      <c r="E31" s="2"/>
      <c r="F31" s="2"/>
      <c r="G31" s="2"/>
      <c r="H31" s="2"/>
      <c r="I31" s="2"/>
      <c r="J31" s="2"/>
      <c r="K31" s="2"/>
      <c r="L31" s="2"/>
      <c r="M31" s="2"/>
      <c r="N31" s="2"/>
      <c r="O31" s="2"/>
      <c r="P31" s="2"/>
      <c r="Q31" s="2"/>
      <c r="R31" s="2"/>
      <c r="S31" s="2"/>
      <c r="T31" s="2"/>
      <c r="U31" s="2"/>
      <c r="V31" s="2"/>
      <c r="W31" s="2"/>
      <c r="X31" s="2"/>
      <c r="Y31" s="2"/>
      <c r="Z31" s="2"/>
      <c r="AA31" s="2"/>
      <c r="AB31" s="5"/>
    </row>
    <row r="32" spans="2:28" ht="24" customHeight="1">
      <c r="B32" s="27" t="str">
        <f>IF('PV (Kế hoạch)'!B32="","",'PV (Kế hoạch)'!B32)</f>
        <v/>
      </c>
      <c r="C32" s="28" t="str">
        <f>IF('PV (Kế hoạch)'!C32="","",'PV (Kế hoạch)'!C32)</f>
        <v>Không chèn thêm dòng vào dưới dòng này</v>
      </c>
      <c r="D32" s="27"/>
      <c r="E32" s="27"/>
      <c r="F32" s="27"/>
      <c r="G32" s="27"/>
      <c r="H32" s="27"/>
      <c r="I32" s="27"/>
      <c r="J32" s="27"/>
      <c r="K32" s="27"/>
      <c r="L32" s="27"/>
      <c r="M32" s="27"/>
      <c r="N32" s="27"/>
      <c r="O32" s="27"/>
      <c r="P32" s="27"/>
      <c r="Q32" s="27"/>
      <c r="R32" s="27"/>
      <c r="S32" s="27"/>
      <c r="T32" s="27"/>
      <c r="U32" s="27"/>
      <c r="V32" s="27"/>
      <c r="W32" s="27"/>
      <c r="X32" s="27"/>
      <c r="Y32" s="27"/>
      <c r="Z32" s="27"/>
      <c r="AA32" s="27"/>
      <c r="AB32" s="27"/>
    </row>
    <row r="33" spans="2:28" ht="21.95" customHeight="1">
      <c r="B33" s="18"/>
      <c r="C33" s="19"/>
      <c r="D33" s="7"/>
      <c r="E33" s="7"/>
      <c r="F33" s="7"/>
      <c r="G33" s="7"/>
      <c r="H33" s="7"/>
      <c r="I33" s="7"/>
      <c r="J33" s="7"/>
      <c r="K33" s="7"/>
      <c r="L33" s="7"/>
      <c r="M33" s="7"/>
      <c r="N33" s="7"/>
      <c r="O33" s="7"/>
      <c r="P33" s="7"/>
      <c r="Q33" s="7"/>
      <c r="R33" s="7"/>
      <c r="S33" s="7"/>
      <c r="T33" s="7"/>
      <c r="U33" s="7"/>
      <c r="V33" s="7"/>
      <c r="W33" s="7"/>
      <c r="X33" s="7"/>
      <c r="Y33" s="7"/>
      <c r="Z33" s="7"/>
      <c r="AA33" s="7"/>
      <c r="AB33" s="7"/>
    </row>
    <row r="34" spans="2:28" ht="21.95" customHeight="1">
      <c r="B34" s="18"/>
      <c r="C34" s="20" t="s">
        <v>126</v>
      </c>
      <c r="D34" s="9">
        <f>ROUND(SUM('EV (Hoàn thành thực tế)'!$D33:D33)/SUM('PV (Kế hoạch)'!$D33:$AA33),2)</f>
        <v>0.02</v>
      </c>
      <c r="E34" s="9">
        <f>ROUND(SUM('EV (Hoàn thành thực tế)'!$D33:E33)/SUM('PV (Kế hoạch)'!$D33:$AA33),2)</f>
        <v>0.04</v>
      </c>
      <c r="F34" s="9">
        <f>ROUND(SUM('EV (Hoàn thành thực tế)'!$D33:F33)/SUM('PV (Kế hoạch)'!$D33:$AA33),2)</f>
        <v>0.06</v>
      </c>
      <c r="G34" s="9">
        <f>ROUND(SUM('EV (Hoàn thành thực tế)'!$D33:G33)/SUM('PV (Kế hoạch)'!$D33:$AA33),2)</f>
        <v>0.09</v>
      </c>
      <c r="H34" s="9">
        <f>ROUND(SUM('EV (Hoàn thành thực tế)'!$D33:H33)/SUM('PV (Kế hoạch)'!$D33:$AA33),2)</f>
        <v>0.13</v>
      </c>
      <c r="I34" s="9">
        <f>ROUND(SUM('EV (Hoàn thành thực tế)'!$D33:I33)/SUM('PV (Kế hoạch)'!$D33:$AA33),2)</f>
        <v>0.17</v>
      </c>
      <c r="J34" s="9">
        <f>ROUND(SUM('EV (Hoàn thành thực tế)'!$D33:J33)/SUM('PV (Kế hoạch)'!$D33:$AA33),2)</f>
        <v>0.2</v>
      </c>
      <c r="K34" s="9">
        <f>ROUND(SUM('EV (Hoàn thành thực tế)'!$D33:K33)/SUM('PV (Kế hoạch)'!$D33:$AA33),2)</f>
        <v>0.24</v>
      </c>
      <c r="L34" s="9">
        <f>ROUND(SUM('EV (Hoàn thành thực tế)'!$D33:L33)/SUM('PV (Kế hoạch)'!$D33:$AA33),2)</f>
        <v>0.3</v>
      </c>
      <c r="M34" s="9">
        <f>ROUND(SUM('EV (Hoàn thành thực tế)'!$D33:M33)/SUM('PV (Kế hoạch)'!$D33:$AA33),2)</f>
        <v>0.36</v>
      </c>
      <c r="N34" s="9">
        <f>ROUND(SUM('EV (Hoàn thành thực tế)'!$D33:N33)/SUM('PV (Kế hoạch)'!$D33:$AA33),2)</f>
        <v>0.42</v>
      </c>
      <c r="O34" s="9">
        <f>ROUND(SUM('EV (Hoàn thành thực tế)'!$D33:O33)/SUM('PV (Kế hoạch)'!$D33:$AA33),2)</f>
        <v>0.49</v>
      </c>
      <c r="P34" s="9">
        <f>ROUND(SUM('EV (Hoàn thành thực tế)'!$D33:P33)/SUM('PV (Kế hoạch)'!$D33:$AA33),2)</f>
        <v>0.56000000000000005</v>
      </c>
      <c r="Q34" s="9">
        <f>ROUND(SUM('EV (Hoàn thành thực tế)'!$D33:Q33)/SUM('PV (Kế hoạch)'!$D33:$AA33),2)</f>
        <v>0.62</v>
      </c>
      <c r="R34" s="9">
        <f>ROUND(SUM('EV (Hoàn thành thực tế)'!$D33:R33)/SUM('PV (Kế hoạch)'!$D33:$AA33),2)</f>
        <v>0.68</v>
      </c>
      <c r="S34" s="9">
        <f>ROUND(SUM('EV (Hoàn thành thực tế)'!$D33:S33)/SUM('PV (Kế hoạch)'!$D33:$AA33),2)</f>
        <v>0.72</v>
      </c>
      <c r="T34" s="9">
        <f>ROUND(SUM('EV (Hoàn thành thực tế)'!$D33:T33)/SUM('PV (Kế hoạch)'!$D33:$AA33),2)</f>
        <v>0.75</v>
      </c>
      <c r="U34" s="9">
        <f>ROUND(SUM('EV (Hoàn thành thực tế)'!$D33:U33)/SUM('PV (Kế hoạch)'!$D33:$AA33),2)</f>
        <v>0.77</v>
      </c>
      <c r="V34" s="9">
        <f>ROUND(SUM('EV (Hoàn thành thực tế)'!$D33:V33)/SUM('PV (Kế hoạch)'!$D33:$AA33),2)</f>
        <v>0.77</v>
      </c>
      <c r="W34" s="9">
        <f>ROUND(SUM('EV (Hoàn thành thực tế)'!$D33:W33)/SUM('PV (Kế hoạch)'!$D33:$AA33),2)</f>
        <v>0.77</v>
      </c>
      <c r="X34" s="9">
        <f>ROUND(SUM('EV (Hoàn thành thực tế)'!$D33:X33)/SUM('PV (Kế hoạch)'!$D33:$AA33),2)</f>
        <v>0.77</v>
      </c>
      <c r="Y34" s="9">
        <f>ROUND(SUM('EV (Hoàn thành thực tế)'!$D33:Y33)/SUM('PV (Kế hoạch)'!$D33:$AA33),2)</f>
        <v>0.77</v>
      </c>
      <c r="Z34" s="9">
        <f>ROUND(SUM('EV (Hoàn thành thực tế)'!$D33:Z33)/SUM('PV (Kế hoạch)'!$D33:$AA33),2)</f>
        <v>0.77</v>
      </c>
      <c r="AA34" s="9">
        <f>ROUND(SUM('EV (Hoàn thành thực tế)'!$D33:AA33)/SUM('PV (Kế hoạch)'!$D33:$AA33),2)</f>
        <v>0.77</v>
      </c>
    </row>
    <row r="35" spans="2:28" ht="21.95" customHeight="1"/>
    <row r="36" spans="2:28" ht="21.95" customHeight="1"/>
    <row r="37" spans="2:28" ht="21.95" customHeight="1"/>
    <row r="38" spans="2:28" ht="21.95" customHeight="1"/>
    <row r="39" spans="2:28" ht="21.95" customHeight="1"/>
  </sheetData>
  <mergeCells count="1">
    <mergeCell ref="B1:AB1"/>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AA39"/>
  <sheetViews>
    <sheetView tabSelected="1" zoomScale="55" zoomScaleNormal="55" workbookViewId="0">
      <pane xSplit="3" ySplit="2" topLeftCell="D26" activePane="bottomRight" state="frozen"/>
      <selection pane="bottomRight" activeCell="D33" sqref="D33"/>
      <selection pane="bottomLeft" activeCell="F18" sqref="F18"/>
      <selection pane="topRight" activeCell="F18" sqref="F18"/>
    </sheetView>
  </sheetViews>
  <sheetFormatPr defaultColWidth="8.7109375" defaultRowHeight="14.45"/>
  <cols>
    <col min="1" max="1" width="0.7109375" style="17" customWidth="1"/>
    <col min="2" max="2" width="6" style="17" customWidth="1"/>
    <col min="3" max="3" width="45" style="17" customWidth="1"/>
    <col min="4" max="27" width="8" style="17" customWidth="1"/>
    <col min="28" max="16384" width="8.7109375" style="17"/>
  </cols>
  <sheetData>
    <row r="1" spans="2:27" ht="30" customHeight="1">
      <c r="B1" s="29" t="s">
        <v>127</v>
      </c>
      <c r="C1" s="30"/>
      <c r="D1" s="30"/>
      <c r="E1" s="30"/>
      <c r="F1" s="30"/>
      <c r="G1" s="30"/>
      <c r="H1" s="30"/>
      <c r="I1" s="30"/>
      <c r="J1" s="30"/>
      <c r="K1" s="30"/>
      <c r="L1" s="30"/>
      <c r="M1" s="30"/>
      <c r="N1" s="30"/>
      <c r="O1" s="30"/>
      <c r="P1" s="30"/>
      <c r="Q1" s="30"/>
      <c r="R1" s="30"/>
      <c r="S1" s="30"/>
      <c r="T1" s="30"/>
      <c r="U1" s="30"/>
      <c r="V1" s="30"/>
      <c r="W1" s="30"/>
      <c r="X1" s="30"/>
      <c r="Y1" s="30"/>
      <c r="Z1" s="30"/>
      <c r="AA1" s="30"/>
    </row>
    <row r="2" spans="2:27" ht="21.95" customHeight="1">
      <c r="B2" s="1" t="s">
        <v>2</v>
      </c>
      <c r="C2" s="1" t="s">
        <v>70</v>
      </c>
      <c r="D2" s="1" t="s">
        <v>125</v>
      </c>
      <c r="E2" s="1" t="s">
        <v>72</v>
      </c>
      <c r="F2" s="1" t="s">
        <v>73</v>
      </c>
      <c r="G2" s="1" t="s">
        <v>74</v>
      </c>
      <c r="H2" s="1" t="s">
        <v>75</v>
      </c>
      <c r="I2" s="1" t="s">
        <v>76</v>
      </c>
      <c r="J2" s="1" t="s">
        <v>77</v>
      </c>
      <c r="K2" s="1" t="s">
        <v>78</v>
      </c>
      <c r="L2" s="1" t="s">
        <v>79</v>
      </c>
      <c r="M2" s="1" t="s">
        <v>80</v>
      </c>
      <c r="N2" s="1" t="s">
        <v>81</v>
      </c>
      <c r="O2" s="1" t="s">
        <v>82</v>
      </c>
      <c r="P2" s="1" t="s">
        <v>83</v>
      </c>
      <c r="Q2" s="1" t="s">
        <v>84</v>
      </c>
      <c r="R2" s="1" t="s">
        <v>85</v>
      </c>
      <c r="S2" s="1" t="s">
        <v>86</v>
      </c>
      <c r="T2" s="1" t="s">
        <v>87</v>
      </c>
      <c r="U2" s="1" t="s">
        <v>88</v>
      </c>
      <c r="V2" s="1" t="s">
        <v>89</v>
      </c>
      <c r="W2" s="1" t="s">
        <v>90</v>
      </c>
      <c r="X2" s="1" t="s">
        <v>91</v>
      </c>
      <c r="Y2" s="1" t="s">
        <v>92</v>
      </c>
      <c r="Z2" s="1" t="s">
        <v>93</v>
      </c>
      <c r="AA2" s="1" t="s">
        <v>94</v>
      </c>
    </row>
    <row r="3" spans="2:27" ht="21.95" customHeight="1">
      <c r="B3" s="2">
        <f>IF('PV (Kế hoạch)'!B3="","",'PV (Kế hoạch)'!B3)</f>
        <v>1</v>
      </c>
      <c r="C3" s="3" t="str">
        <f>IF('PV (Kế hoạch)'!C3="","",'PV (Kế hoạch)'!C3)</f>
        <v>Phân tích yêu cầu (Requirements Analysis)</v>
      </c>
      <c r="D3" s="2">
        <f>IF(SUM('PV (Kế hoạch)'!$D3:D3)=0,"",ROUND(SUM('EV (Hoàn thành thực tế)'!$D3:D3)/SUM('PV (Kế hoạch)'!$D3:D3),2))</f>
        <v>0.99</v>
      </c>
      <c r="E3" s="2">
        <f>IF(SUM('PV (Kế hoạch)'!$D3:E3)=0,"",ROUND(SUM('EV (Hoàn thành thực tế)'!$D3:E3)/SUM('PV (Kế hoạch)'!$D3:E3),2))</f>
        <v>1</v>
      </c>
      <c r="F3" s="2">
        <f>IF(SUM('PV (Kế hoạch)'!$D3:F3)=0,"",ROUND(SUM('EV (Hoàn thành thực tế)'!$D3:F3)/SUM('PV (Kế hoạch)'!$D3:F3),2))</f>
        <v>1</v>
      </c>
      <c r="G3" s="2">
        <f>IF(SUM('PV (Kế hoạch)'!$D3:G3)=0,"",ROUND(SUM('EV (Hoàn thành thực tế)'!$D3:G3)/SUM('PV (Kế hoạch)'!$D3:G3),2))</f>
        <v>1</v>
      </c>
      <c r="H3" s="2">
        <f>IF(SUM('PV (Kế hoạch)'!$D3:H3)=0,"",ROUND(SUM('EV (Hoàn thành thực tế)'!$D3:H3)/SUM('PV (Kế hoạch)'!$D3:H3),2))</f>
        <v>1</v>
      </c>
      <c r="I3" s="2">
        <f>IF(SUM('PV (Kế hoạch)'!$D3:I3)=0,"",ROUND(SUM('EV (Hoàn thành thực tế)'!$D3:I3)/SUM('PV (Kế hoạch)'!$D3:I3),2))</f>
        <v>1</v>
      </c>
      <c r="J3" s="2">
        <f>IF(SUM('PV (Kế hoạch)'!$D3:J3)=0,"",ROUND(SUM('EV (Hoàn thành thực tế)'!$D3:J3)/SUM('PV (Kế hoạch)'!$D3:J3),2))</f>
        <v>1</v>
      </c>
      <c r="K3" s="2">
        <f>IF(SUM('PV (Kế hoạch)'!$D3:K3)=0,"",ROUND(SUM('EV (Hoàn thành thực tế)'!$D3:K3)/SUM('PV (Kế hoạch)'!$D3:K3),2))</f>
        <v>1</v>
      </c>
      <c r="L3" s="2">
        <f>IF(SUM('PV (Kế hoạch)'!$D3:L3)=0,"",ROUND(SUM('EV (Hoàn thành thực tế)'!$D3:L3)/SUM('PV (Kế hoạch)'!$D3:L3),2))</f>
        <v>1</v>
      </c>
      <c r="M3" s="2">
        <f>IF(SUM('PV (Kế hoạch)'!$D3:M3)=0,"",ROUND(SUM('EV (Hoàn thành thực tế)'!$D3:M3)/SUM('PV (Kế hoạch)'!$D3:M3),2))</f>
        <v>1</v>
      </c>
      <c r="N3" s="2">
        <f>IF(SUM('PV (Kế hoạch)'!$D3:N3)=0,"",ROUND(SUM('EV (Hoàn thành thực tế)'!$D3:N3)/SUM('PV (Kế hoạch)'!$D3:N3),2))</f>
        <v>1</v>
      </c>
      <c r="O3" s="2">
        <f>IF(SUM('PV (Kế hoạch)'!$D3:O3)=0,"",ROUND(SUM('EV (Hoàn thành thực tế)'!$D3:O3)/SUM('PV (Kế hoạch)'!$D3:O3),2))</f>
        <v>1</v>
      </c>
      <c r="P3" s="2">
        <f>IF(SUM('PV (Kế hoạch)'!$D3:P3)=0,"",ROUND(SUM('EV (Hoàn thành thực tế)'!$D3:P3)/SUM('PV (Kế hoạch)'!$D3:P3),2))</f>
        <v>1</v>
      </c>
      <c r="Q3" s="2">
        <f>IF(SUM('PV (Kế hoạch)'!$D3:Q3)=0,"",ROUND(SUM('EV (Hoàn thành thực tế)'!$D3:Q3)/SUM('PV (Kế hoạch)'!$D3:Q3),2))</f>
        <v>1</v>
      </c>
      <c r="R3" s="2">
        <f>IF(SUM('PV (Kế hoạch)'!$D3:R3)=0,"",ROUND(SUM('EV (Hoàn thành thực tế)'!$D3:R3)/SUM('PV (Kế hoạch)'!$D3:R3),2))</f>
        <v>1</v>
      </c>
      <c r="S3" s="2">
        <f>IF(SUM('PV (Kế hoạch)'!$D3:S3)=0,"",ROUND(SUM('EV (Hoàn thành thực tế)'!$D3:S3)/SUM('PV (Kế hoạch)'!$D3:S3),2))</f>
        <v>1</v>
      </c>
      <c r="T3" s="2">
        <f>IF(SUM('PV (Kế hoạch)'!$D3:T3)=0,"",ROUND(SUM('EV (Hoàn thành thực tế)'!$D3:T3)/SUM('PV (Kế hoạch)'!$D3:T3),2))</f>
        <v>1</v>
      </c>
      <c r="U3" s="2">
        <f>IF(SUM('PV (Kế hoạch)'!$D3:U3)=0,"",ROUND(SUM('EV (Hoàn thành thực tế)'!$D3:U3)/SUM('PV (Kế hoạch)'!$D3:U3),2))</f>
        <v>1</v>
      </c>
      <c r="V3" s="2">
        <f>IF(SUM('PV (Kế hoạch)'!$D3:V3)=0,"",ROUND(SUM('EV (Hoàn thành thực tế)'!$D3:V3)/SUM('PV (Kế hoạch)'!$D3:V3),2))</f>
        <v>1</v>
      </c>
      <c r="W3" s="2">
        <f>IF(SUM('PV (Kế hoạch)'!$D3:W3)=0,"",ROUND(SUM('EV (Hoàn thành thực tế)'!$D3:W3)/SUM('PV (Kế hoạch)'!$D3:W3),2))</f>
        <v>1</v>
      </c>
      <c r="X3" s="2">
        <f>IF(SUM('PV (Kế hoạch)'!$D3:X3)=0,"",ROUND(SUM('EV (Hoàn thành thực tế)'!$D3:X3)/SUM('PV (Kế hoạch)'!$D3:X3),2))</f>
        <v>1</v>
      </c>
      <c r="Y3" s="2">
        <f>IF(SUM('PV (Kế hoạch)'!$D3:Y3)=0,"",ROUND(SUM('EV (Hoàn thành thực tế)'!$D3:Y3)/SUM('PV (Kế hoạch)'!$D3:Y3),2))</f>
        <v>1</v>
      </c>
      <c r="Z3" s="2">
        <f>IF(SUM('PV (Kế hoạch)'!$D3:Z3)=0,"",ROUND(SUM('EV (Hoàn thành thực tế)'!$D3:Z3)/SUM('PV (Kế hoạch)'!$D3:Z3),2))</f>
        <v>1</v>
      </c>
      <c r="AA3" s="2">
        <f>IF(SUM('PV (Kế hoạch)'!$D3:AA3)=0,"",ROUND(SUM('EV (Hoàn thành thực tế)'!$D3:AA3)/SUM('PV (Kế hoạch)'!$D3:AA3),2))</f>
        <v>1</v>
      </c>
    </row>
    <row r="4" spans="2:27" ht="21.95" customHeight="1">
      <c r="B4" s="2">
        <f>IF('PV (Kế hoạch)'!B4="","",'PV (Kế hoạch)'!B4)</f>
        <v>2</v>
      </c>
      <c r="C4" s="3" t="str">
        <f>IF('PV (Kế hoạch)'!C4="","",'PV (Kế hoạch)'!C4)</f>
        <v>Thiết kế hệ thống (System Design)</v>
      </c>
      <c r="D4" s="2" t="str">
        <f>IF(SUM('PV (Kế hoạch)'!$D4:D4)=0,"",ROUND(SUM('EV (Hoàn thành thực tế)'!$D4:D4)/SUM('PV (Kế hoạch)'!$D4:D4),2))</f>
        <v/>
      </c>
      <c r="E4" s="2" t="str">
        <f>IF(SUM('PV (Kế hoạch)'!$D4:E4)=0,"",ROUND(SUM('EV (Hoàn thành thực tế)'!$D4:E4)/SUM('PV (Kế hoạch)'!$D4:E4),2))</f>
        <v/>
      </c>
      <c r="F4" s="2">
        <f>IF(SUM('PV (Kế hoạch)'!$D4:F4)=0,"",ROUND(SUM('EV (Hoàn thành thực tế)'!$D4:F4)/SUM('PV (Kế hoạch)'!$D4:F4),2))</f>
        <v>1</v>
      </c>
      <c r="G4" s="2">
        <f>IF(SUM('PV (Kế hoạch)'!$D4:G4)=0,"",ROUND(SUM('EV (Hoàn thành thực tế)'!$D4:G4)/SUM('PV (Kế hoạch)'!$D4:G4),2))</f>
        <v>0.99</v>
      </c>
      <c r="H4" s="2">
        <f>IF(SUM('PV (Kế hoạch)'!$D4:H4)=0,"",ROUND(SUM('EV (Hoàn thành thực tế)'!$D4:H4)/SUM('PV (Kế hoạch)'!$D4:H4),2))</f>
        <v>1</v>
      </c>
      <c r="I4" s="2">
        <f>IF(SUM('PV (Kế hoạch)'!$D4:I4)=0,"",ROUND(SUM('EV (Hoàn thành thực tế)'!$D4:I4)/SUM('PV (Kế hoạch)'!$D4:I4),2))</f>
        <v>1</v>
      </c>
      <c r="J4" s="2">
        <f>IF(SUM('PV (Kế hoạch)'!$D4:J4)=0,"",ROUND(SUM('EV (Hoàn thành thực tế)'!$D4:J4)/SUM('PV (Kế hoạch)'!$D4:J4),2))</f>
        <v>1</v>
      </c>
      <c r="K4" s="2">
        <f>IF(SUM('PV (Kế hoạch)'!$D4:K4)=0,"",ROUND(SUM('EV (Hoàn thành thực tế)'!$D4:K4)/SUM('PV (Kế hoạch)'!$D4:K4),2))</f>
        <v>1</v>
      </c>
      <c r="L4" s="2">
        <f>IF(SUM('PV (Kế hoạch)'!$D4:L4)=0,"",ROUND(SUM('EV (Hoàn thành thực tế)'!$D4:L4)/SUM('PV (Kế hoạch)'!$D4:L4),2))</f>
        <v>1</v>
      </c>
      <c r="M4" s="2">
        <f>IF(SUM('PV (Kế hoạch)'!$D4:M4)=0,"",ROUND(SUM('EV (Hoàn thành thực tế)'!$D4:M4)/SUM('PV (Kế hoạch)'!$D4:M4),2))</f>
        <v>1</v>
      </c>
      <c r="N4" s="2">
        <f>IF(SUM('PV (Kế hoạch)'!$D4:N4)=0,"",ROUND(SUM('EV (Hoàn thành thực tế)'!$D4:N4)/SUM('PV (Kế hoạch)'!$D4:N4),2))</f>
        <v>1</v>
      </c>
      <c r="O4" s="2">
        <f>IF(SUM('PV (Kế hoạch)'!$D4:O4)=0,"",ROUND(SUM('EV (Hoàn thành thực tế)'!$D4:O4)/SUM('PV (Kế hoạch)'!$D4:O4),2))</f>
        <v>1</v>
      </c>
      <c r="P4" s="2">
        <f>IF(SUM('PV (Kế hoạch)'!$D4:P4)=0,"",ROUND(SUM('EV (Hoàn thành thực tế)'!$D4:P4)/SUM('PV (Kế hoạch)'!$D4:P4),2))</f>
        <v>1</v>
      </c>
      <c r="Q4" s="2">
        <f>IF(SUM('PV (Kế hoạch)'!$D4:Q4)=0,"",ROUND(SUM('EV (Hoàn thành thực tế)'!$D4:Q4)/SUM('PV (Kế hoạch)'!$D4:Q4),2))</f>
        <v>1</v>
      </c>
      <c r="R4" s="2">
        <f>IF(SUM('PV (Kế hoạch)'!$D4:R4)=0,"",ROUND(SUM('EV (Hoàn thành thực tế)'!$D4:R4)/SUM('PV (Kế hoạch)'!$D4:R4),2))</f>
        <v>1</v>
      </c>
      <c r="S4" s="2">
        <f>IF(SUM('PV (Kế hoạch)'!$D4:S4)=0,"",ROUND(SUM('EV (Hoàn thành thực tế)'!$D4:S4)/SUM('PV (Kế hoạch)'!$D4:S4),2))</f>
        <v>1</v>
      </c>
      <c r="T4" s="2">
        <f>IF(SUM('PV (Kế hoạch)'!$D4:T4)=0,"",ROUND(SUM('EV (Hoàn thành thực tế)'!$D4:T4)/SUM('PV (Kế hoạch)'!$D4:T4),2))</f>
        <v>1</v>
      </c>
      <c r="U4" s="2">
        <f>IF(SUM('PV (Kế hoạch)'!$D4:U4)=0,"",ROUND(SUM('EV (Hoàn thành thực tế)'!$D4:U4)/SUM('PV (Kế hoạch)'!$D4:U4),2))</f>
        <v>1</v>
      </c>
      <c r="V4" s="2">
        <f>IF(SUM('PV (Kế hoạch)'!$D4:V4)=0,"",ROUND(SUM('EV (Hoàn thành thực tế)'!$D4:V4)/SUM('PV (Kế hoạch)'!$D4:V4),2))</f>
        <v>1</v>
      </c>
      <c r="W4" s="2">
        <f>IF(SUM('PV (Kế hoạch)'!$D4:W4)=0,"",ROUND(SUM('EV (Hoàn thành thực tế)'!$D4:W4)/SUM('PV (Kế hoạch)'!$D4:W4),2))</f>
        <v>1</v>
      </c>
      <c r="X4" s="2">
        <f>IF(SUM('PV (Kế hoạch)'!$D4:X4)=0,"",ROUND(SUM('EV (Hoàn thành thực tế)'!$D4:X4)/SUM('PV (Kế hoạch)'!$D4:X4),2))</f>
        <v>1</v>
      </c>
      <c r="Y4" s="2">
        <f>IF(SUM('PV (Kế hoạch)'!$D4:Y4)=0,"",ROUND(SUM('EV (Hoàn thành thực tế)'!$D4:Y4)/SUM('PV (Kế hoạch)'!$D4:Y4),2))</f>
        <v>1</v>
      </c>
      <c r="Z4" s="2">
        <f>IF(SUM('PV (Kế hoạch)'!$D4:Z4)=0,"",ROUND(SUM('EV (Hoàn thành thực tế)'!$D4:Z4)/SUM('PV (Kế hoạch)'!$D4:Z4),2))</f>
        <v>1</v>
      </c>
      <c r="AA4" s="2">
        <f>IF(SUM('PV (Kế hoạch)'!$D4:AA4)=0,"",ROUND(SUM('EV (Hoàn thành thực tế)'!$D4:AA4)/SUM('PV (Kế hoạch)'!$D4:AA4),2))</f>
        <v>1</v>
      </c>
    </row>
    <row r="5" spans="2:27" ht="21.95" customHeight="1">
      <c r="B5" s="2">
        <f>IF('PV (Kế hoạch)'!B5="","",'PV (Kế hoạch)'!B5)</f>
        <v>3</v>
      </c>
      <c r="C5" s="3" t="str">
        <f>IF('PV (Kế hoạch)'!C5="","",'PV (Kế hoạch)'!C5)</f>
        <v>Thiết kế database (Database Design)</v>
      </c>
      <c r="D5" s="2" t="str">
        <f>IF(SUM('PV (Kế hoạch)'!$D5:D5)=0,"",ROUND(SUM('EV (Hoàn thành thực tế)'!$D5:D5)/SUM('PV (Kế hoạch)'!$D5:D5),2))</f>
        <v/>
      </c>
      <c r="E5" s="2" t="str">
        <f>IF(SUM('PV (Kế hoạch)'!$D5:E5)=0,"",ROUND(SUM('EV (Hoàn thành thực tế)'!$D5:E5)/SUM('PV (Kế hoạch)'!$D5:E5),2))</f>
        <v/>
      </c>
      <c r="F5" s="2" t="str">
        <f>IF(SUM('PV (Kế hoạch)'!$D5:F5)=0,"",ROUND(SUM('EV (Hoàn thành thực tế)'!$D5:F5)/SUM('PV (Kế hoạch)'!$D5:F5),2))</f>
        <v/>
      </c>
      <c r="G5" s="2">
        <f>IF(SUM('PV (Kế hoạch)'!$D5:G5)=0,"",ROUND(SUM('EV (Hoàn thành thực tế)'!$D5:G5)/SUM('PV (Kế hoạch)'!$D5:G5),2))</f>
        <v>1</v>
      </c>
      <c r="H5" s="2">
        <f>IF(SUM('PV (Kế hoạch)'!$D5:H5)=0,"",ROUND(SUM('EV (Hoàn thành thực tế)'!$D5:H5)/SUM('PV (Kế hoạch)'!$D5:H5),2))</f>
        <v>1.01</v>
      </c>
      <c r="I5" s="2">
        <f>IF(SUM('PV (Kế hoạch)'!$D5:I5)=0,"",ROUND(SUM('EV (Hoàn thành thực tế)'!$D5:I5)/SUM('PV (Kế hoạch)'!$D5:I5),2))</f>
        <v>1</v>
      </c>
      <c r="J5" s="2">
        <f>IF(SUM('PV (Kế hoạch)'!$D5:J5)=0,"",ROUND(SUM('EV (Hoàn thành thực tế)'!$D5:J5)/SUM('PV (Kế hoạch)'!$D5:J5),2))</f>
        <v>1</v>
      </c>
      <c r="K5" s="2">
        <f>IF(SUM('PV (Kế hoạch)'!$D5:K5)=0,"",ROUND(SUM('EV (Hoàn thành thực tế)'!$D5:K5)/SUM('PV (Kế hoạch)'!$D5:K5),2))</f>
        <v>1</v>
      </c>
      <c r="L5" s="2">
        <f>IF(SUM('PV (Kế hoạch)'!$D5:L5)=0,"",ROUND(SUM('EV (Hoàn thành thực tế)'!$D5:L5)/SUM('PV (Kế hoạch)'!$D5:L5),2))</f>
        <v>1</v>
      </c>
      <c r="M5" s="2">
        <f>IF(SUM('PV (Kế hoạch)'!$D5:M5)=0,"",ROUND(SUM('EV (Hoàn thành thực tế)'!$D5:M5)/SUM('PV (Kế hoạch)'!$D5:M5),2))</f>
        <v>1</v>
      </c>
      <c r="N5" s="2">
        <f>IF(SUM('PV (Kế hoạch)'!$D5:N5)=0,"",ROUND(SUM('EV (Hoàn thành thực tế)'!$D5:N5)/SUM('PV (Kế hoạch)'!$D5:N5),2))</f>
        <v>1</v>
      </c>
      <c r="O5" s="2">
        <f>IF(SUM('PV (Kế hoạch)'!$D5:O5)=0,"",ROUND(SUM('EV (Hoàn thành thực tế)'!$D5:O5)/SUM('PV (Kế hoạch)'!$D5:O5),2))</f>
        <v>1</v>
      </c>
      <c r="P5" s="2">
        <f>IF(SUM('PV (Kế hoạch)'!$D5:P5)=0,"",ROUND(SUM('EV (Hoàn thành thực tế)'!$D5:P5)/SUM('PV (Kế hoạch)'!$D5:P5),2))</f>
        <v>1</v>
      </c>
      <c r="Q5" s="2">
        <f>IF(SUM('PV (Kế hoạch)'!$D5:Q5)=0,"",ROUND(SUM('EV (Hoàn thành thực tế)'!$D5:Q5)/SUM('PV (Kế hoạch)'!$D5:Q5),2))</f>
        <v>1</v>
      </c>
      <c r="R5" s="2">
        <f>IF(SUM('PV (Kế hoạch)'!$D5:R5)=0,"",ROUND(SUM('EV (Hoàn thành thực tế)'!$D5:R5)/SUM('PV (Kế hoạch)'!$D5:R5),2))</f>
        <v>1</v>
      </c>
      <c r="S5" s="2">
        <f>IF(SUM('PV (Kế hoạch)'!$D5:S5)=0,"",ROUND(SUM('EV (Hoàn thành thực tế)'!$D5:S5)/SUM('PV (Kế hoạch)'!$D5:S5),2))</f>
        <v>1</v>
      </c>
      <c r="T5" s="2">
        <f>IF(SUM('PV (Kế hoạch)'!$D5:T5)=0,"",ROUND(SUM('EV (Hoàn thành thực tế)'!$D5:T5)/SUM('PV (Kế hoạch)'!$D5:T5),2))</f>
        <v>1</v>
      </c>
      <c r="U5" s="2">
        <f>IF(SUM('PV (Kế hoạch)'!$D5:U5)=0,"",ROUND(SUM('EV (Hoàn thành thực tế)'!$D5:U5)/SUM('PV (Kế hoạch)'!$D5:U5),2))</f>
        <v>1</v>
      </c>
      <c r="V5" s="2">
        <f>IF(SUM('PV (Kế hoạch)'!$D5:V5)=0,"",ROUND(SUM('EV (Hoàn thành thực tế)'!$D5:V5)/SUM('PV (Kế hoạch)'!$D5:V5),2))</f>
        <v>1</v>
      </c>
      <c r="W5" s="2">
        <f>IF(SUM('PV (Kế hoạch)'!$D5:W5)=0,"",ROUND(SUM('EV (Hoàn thành thực tế)'!$D5:W5)/SUM('PV (Kế hoạch)'!$D5:W5),2))</f>
        <v>1</v>
      </c>
      <c r="X5" s="2">
        <f>IF(SUM('PV (Kế hoạch)'!$D5:X5)=0,"",ROUND(SUM('EV (Hoàn thành thực tế)'!$D5:X5)/SUM('PV (Kế hoạch)'!$D5:X5),2))</f>
        <v>1</v>
      </c>
      <c r="Y5" s="2">
        <f>IF(SUM('PV (Kế hoạch)'!$D5:Y5)=0,"",ROUND(SUM('EV (Hoàn thành thực tế)'!$D5:Y5)/SUM('PV (Kế hoạch)'!$D5:Y5),2))</f>
        <v>1</v>
      </c>
      <c r="Z5" s="2">
        <f>IF(SUM('PV (Kế hoạch)'!$D5:Z5)=0,"",ROUND(SUM('EV (Hoàn thành thực tế)'!$D5:Z5)/SUM('PV (Kế hoạch)'!$D5:Z5),2))</f>
        <v>1</v>
      </c>
      <c r="AA5" s="2">
        <f>IF(SUM('PV (Kế hoạch)'!$D5:AA5)=0,"",ROUND(SUM('EV (Hoàn thành thực tế)'!$D5:AA5)/SUM('PV (Kế hoạch)'!$D5:AA5),2))</f>
        <v>1</v>
      </c>
    </row>
    <row r="6" spans="2:27" ht="21.95" customHeight="1">
      <c r="B6" s="2">
        <f>IF('PV (Kế hoạch)'!B6="","",'PV (Kế hoạch)'!B6)</f>
        <v>4</v>
      </c>
      <c r="C6" s="3" t="str">
        <f>IF('PV (Kế hoạch)'!C6="","",'PV (Kế hoạch)'!C6)</f>
        <v>Thiết kế UI/UX</v>
      </c>
      <c r="D6" s="2" t="str">
        <f>IF(SUM('PV (Kế hoạch)'!$D6:D6)=0,"",ROUND(SUM('EV (Hoàn thành thực tế)'!$D6:D6)/SUM('PV (Kế hoạch)'!$D6:D6),2))</f>
        <v/>
      </c>
      <c r="E6" s="2" t="str">
        <f>IF(SUM('PV (Kế hoạch)'!$D6:E6)=0,"",ROUND(SUM('EV (Hoàn thành thực tế)'!$D6:E6)/SUM('PV (Kế hoạch)'!$D6:E6),2))</f>
        <v/>
      </c>
      <c r="F6" s="2" t="str">
        <f>IF(SUM('PV (Kế hoạch)'!$D6:F6)=0,"",ROUND(SUM('EV (Hoàn thành thực tế)'!$D6:F6)/SUM('PV (Kế hoạch)'!$D6:F6),2))</f>
        <v/>
      </c>
      <c r="G6" s="2">
        <f>IF(SUM('PV (Kế hoạch)'!$D6:G6)=0,"",ROUND(SUM('EV (Hoàn thành thực tế)'!$D6:G6)/SUM('PV (Kế hoạch)'!$D6:G6),2))</f>
        <v>1</v>
      </c>
      <c r="H6" s="2">
        <f>IF(SUM('PV (Kế hoạch)'!$D6:H6)=0,"",ROUND(SUM('EV (Hoàn thành thực tế)'!$D6:H6)/SUM('PV (Kế hoạch)'!$D6:H6),2))</f>
        <v>1</v>
      </c>
      <c r="I6" s="2">
        <f>IF(SUM('PV (Kế hoạch)'!$D6:I6)=0,"",ROUND(SUM('EV (Hoàn thành thực tế)'!$D6:I6)/SUM('PV (Kế hoạch)'!$D6:I6),2))</f>
        <v>1</v>
      </c>
      <c r="J6" s="2">
        <f>IF(SUM('PV (Kế hoạch)'!$D6:J6)=0,"",ROUND(SUM('EV (Hoàn thành thực tế)'!$D6:J6)/SUM('PV (Kế hoạch)'!$D6:J6),2))</f>
        <v>1</v>
      </c>
      <c r="K6" s="2">
        <f>IF(SUM('PV (Kế hoạch)'!$D6:K6)=0,"",ROUND(SUM('EV (Hoàn thành thực tế)'!$D6:K6)/SUM('PV (Kế hoạch)'!$D6:K6),2))</f>
        <v>1</v>
      </c>
      <c r="L6" s="2">
        <f>IF(SUM('PV (Kế hoạch)'!$D6:L6)=0,"",ROUND(SUM('EV (Hoàn thành thực tế)'!$D6:L6)/SUM('PV (Kế hoạch)'!$D6:L6),2))</f>
        <v>1</v>
      </c>
      <c r="M6" s="2">
        <f>IF(SUM('PV (Kế hoạch)'!$D6:M6)=0,"",ROUND(SUM('EV (Hoàn thành thực tế)'!$D6:M6)/SUM('PV (Kế hoạch)'!$D6:M6),2))</f>
        <v>1</v>
      </c>
      <c r="N6" s="2">
        <f>IF(SUM('PV (Kế hoạch)'!$D6:N6)=0,"",ROUND(SUM('EV (Hoàn thành thực tế)'!$D6:N6)/SUM('PV (Kế hoạch)'!$D6:N6),2))</f>
        <v>1</v>
      </c>
      <c r="O6" s="2">
        <f>IF(SUM('PV (Kế hoạch)'!$D6:O6)=0,"",ROUND(SUM('EV (Hoàn thành thực tế)'!$D6:O6)/SUM('PV (Kế hoạch)'!$D6:O6),2))</f>
        <v>1</v>
      </c>
      <c r="P6" s="2">
        <f>IF(SUM('PV (Kế hoạch)'!$D6:P6)=0,"",ROUND(SUM('EV (Hoàn thành thực tế)'!$D6:P6)/SUM('PV (Kế hoạch)'!$D6:P6),2))</f>
        <v>1</v>
      </c>
      <c r="Q6" s="2">
        <f>IF(SUM('PV (Kế hoạch)'!$D6:Q6)=0,"",ROUND(SUM('EV (Hoàn thành thực tế)'!$D6:Q6)/SUM('PV (Kế hoạch)'!$D6:Q6),2))</f>
        <v>1</v>
      </c>
      <c r="R6" s="2">
        <f>IF(SUM('PV (Kế hoạch)'!$D6:R6)=0,"",ROUND(SUM('EV (Hoàn thành thực tế)'!$D6:R6)/SUM('PV (Kế hoạch)'!$D6:R6),2))</f>
        <v>1</v>
      </c>
      <c r="S6" s="2">
        <f>IF(SUM('PV (Kế hoạch)'!$D6:S6)=0,"",ROUND(SUM('EV (Hoàn thành thực tế)'!$D6:S6)/SUM('PV (Kế hoạch)'!$D6:S6),2))</f>
        <v>1</v>
      </c>
      <c r="T6" s="2">
        <f>IF(SUM('PV (Kế hoạch)'!$D6:T6)=0,"",ROUND(SUM('EV (Hoàn thành thực tế)'!$D6:T6)/SUM('PV (Kế hoạch)'!$D6:T6),2))</f>
        <v>1</v>
      </c>
      <c r="U6" s="2">
        <f>IF(SUM('PV (Kế hoạch)'!$D6:U6)=0,"",ROUND(SUM('EV (Hoàn thành thực tế)'!$D6:U6)/SUM('PV (Kế hoạch)'!$D6:U6),2))</f>
        <v>1</v>
      </c>
      <c r="V6" s="2">
        <f>IF(SUM('PV (Kế hoạch)'!$D6:V6)=0,"",ROUND(SUM('EV (Hoàn thành thực tế)'!$D6:V6)/SUM('PV (Kế hoạch)'!$D6:V6),2))</f>
        <v>1</v>
      </c>
      <c r="W6" s="2">
        <f>IF(SUM('PV (Kế hoạch)'!$D6:W6)=0,"",ROUND(SUM('EV (Hoàn thành thực tế)'!$D6:W6)/SUM('PV (Kế hoạch)'!$D6:W6),2))</f>
        <v>1</v>
      </c>
      <c r="X6" s="2">
        <f>IF(SUM('PV (Kế hoạch)'!$D6:X6)=0,"",ROUND(SUM('EV (Hoàn thành thực tế)'!$D6:X6)/SUM('PV (Kế hoạch)'!$D6:X6),2))</f>
        <v>1</v>
      </c>
      <c r="Y6" s="2">
        <f>IF(SUM('PV (Kế hoạch)'!$D6:Y6)=0,"",ROUND(SUM('EV (Hoàn thành thực tế)'!$D6:Y6)/SUM('PV (Kế hoạch)'!$D6:Y6),2))</f>
        <v>1</v>
      </c>
      <c r="Z6" s="2">
        <f>IF(SUM('PV (Kế hoạch)'!$D6:Z6)=0,"",ROUND(SUM('EV (Hoàn thành thực tế)'!$D6:Z6)/SUM('PV (Kế hoạch)'!$D6:Z6),2))</f>
        <v>1</v>
      </c>
      <c r="AA6" s="2">
        <f>IF(SUM('PV (Kế hoạch)'!$D6:AA6)=0,"",ROUND(SUM('EV (Hoàn thành thực tế)'!$D6:AA6)/SUM('PV (Kế hoạch)'!$D6:AA6),2))</f>
        <v>1</v>
      </c>
    </row>
    <row r="7" spans="2:27" ht="21.95" customHeight="1">
      <c r="B7" s="2">
        <f>IF('PV (Kế hoạch)'!B7="","",'PV (Kế hoạch)'!B7)</f>
        <v>5</v>
      </c>
      <c r="C7" s="3" t="str">
        <f>IF('PV (Kế hoạch)'!C7="","",'PV (Kế hoạch)'!C7)</f>
        <v>Phát triển Backend - Module User</v>
      </c>
      <c r="D7" s="2" t="str">
        <f>IF(SUM('PV (Kế hoạch)'!$D7:D7)=0,"",ROUND(SUM('EV (Hoàn thành thực tế)'!$D7:D7)/SUM('PV (Kế hoạch)'!$D7:D7),2))</f>
        <v/>
      </c>
      <c r="E7" s="2" t="str">
        <f>IF(SUM('PV (Kế hoạch)'!$D7:E7)=0,"",ROUND(SUM('EV (Hoàn thành thực tế)'!$D7:E7)/SUM('PV (Kế hoạch)'!$D7:E7),2))</f>
        <v/>
      </c>
      <c r="F7" s="2" t="str">
        <f>IF(SUM('PV (Kế hoạch)'!$D7:F7)=0,"",ROUND(SUM('EV (Hoàn thành thực tế)'!$D7:F7)/SUM('PV (Kế hoạch)'!$D7:F7),2))</f>
        <v/>
      </c>
      <c r="G7" s="2" t="str">
        <f>IF(SUM('PV (Kế hoạch)'!$D7:G7)=0,"",ROUND(SUM('EV (Hoàn thành thực tế)'!$D7:G7)/SUM('PV (Kế hoạch)'!$D7:G7),2))</f>
        <v/>
      </c>
      <c r="H7" s="2" t="str">
        <f>IF(SUM('PV (Kế hoạch)'!$D7:H7)=0,"",ROUND(SUM('EV (Hoàn thành thực tế)'!$D7:H7)/SUM('PV (Kế hoạch)'!$D7:H7),2))</f>
        <v/>
      </c>
      <c r="I7" s="2">
        <f>IF(SUM('PV (Kế hoạch)'!$D7:I7)=0,"",ROUND(SUM('EV (Hoàn thành thực tế)'!$D7:I7)/SUM('PV (Kế hoạch)'!$D7:I7),2))</f>
        <v>1</v>
      </c>
      <c r="J7" s="2">
        <f>IF(SUM('PV (Kế hoạch)'!$D7:J7)=0,"",ROUND(SUM('EV (Hoàn thành thực tế)'!$D7:J7)/SUM('PV (Kế hoạch)'!$D7:J7),2))</f>
        <v>1</v>
      </c>
      <c r="K7" s="2">
        <f>IF(SUM('PV (Kế hoạch)'!$D7:K7)=0,"",ROUND(SUM('EV (Hoàn thành thực tế)'!$D7:K7)/SUM('PV (Kế hoạch)'!$D7:K7),2))</f>
        <v>1</v>
      </c>
      <c r="L7" s="2">
        <f>IF(SUM('PV (Kế hoạch)'!$D7:L7)=0,"",ROUND(SUM('EV (Hoàn thành thực tế)'!$D7:L7)/SUM('PV (Kế hoạch)'!$D7:L7),2))</f>
        <v>1</v>
      </c>
      <c r="M7" s="2">
        <f>IF(SUM('PV (Kế hoạch)'!$D7:M7)=0,"",ROUND(SUM('EV (Hoàn thành thực tế)'!$D7:M7)/SUM('PV (Kế hoạch)'!$D7:M7),2))</f>
        <v>1</v>
      </c>
      <c r="N7" s="2">
        <f>IF(SUM('PV (Kế hoạch)'!$D7:N7)=0,"",ROUND(SUM('EV (Hoàn thành thực tế)'!$D7:N7)/SUM('PV (Kế hoạch)'!$D7:N7),2))</f>
        <v>1</v>
      </c>
      <c r="O7" s="2">
        <f>IF(SUM('PV (Kế hoạch)'!$D7:O7)=0,"",ROUND(SUM('EV (Hoàn thành thực tế)'!$D7:O7)/SUM('PV (Kế hoạch)'!$D7:O7),2))</f>
        <v>1</v>
      </c>
      <c r="P7" s="2">
        <f>IF(SUM('PV (Kế hoạch)'!$D7:P7)=0,"",ROUND(SUM('EV (Hoàn thành thực tế)'!$D7:P7)/SUM('PV (Kế hoạch)'!$D7:P7),2))</f>
        <v>1</v>
      </c>
      <c r="Q7" s="2">
        <f>IF(SUM('PV (Kế hoạch)'!$D7:Q7)=0,"",ROUND(SUM('EV (Hoàn thành thực tế)'!$D7:Q7)/SUM('PV (Kế hoạch)'!$D7:Q7),2))</f>
        <v>1</v>
      </c>
      <c r="R7" s="2">
        <f>IF(SUM('PV (Kế hoạch)'!$D7:R7)=0,"",ROUND(SUM('EV (Hoàn thành thực tế)'!$D7:R7)/SUM('PV (Kế hoạch)'!$D7:R7),2))</f>
        <v>1</v>
      </c>
      <c r="S7" s="2">
        <f>IF(SUM('PV (Kế hoạch)'!$D7:S7)=0,"",ROUND(SUM('EV (Hoàn thành thực tế)'!$D7:S7)/SUM('PV (Kế hoạch)'!$D7:S7),2))</f>
        <v>1</v>
      </c>
      <c r="T7" s="2">
        <f>IF(SUM('PV (Kế hoạch)'!$D7:T7)=0,"",ROUND(SUM('EV (Hoàn thành thực tế)'!$D7:T7)/SUM('PV (Kế hoạch)'!$D7:T7),2))</f>
        <v>1</v>
      </c>
      <c r="U7" s="2">
        <f>IF(SUM('PV (Kế hoạch)'!$D7:U7)=0,"",ROUND(SUM('EV (Hoàn thành thực tế)'!$D7:U7)/SUM('PV (Kế hoạch)'!$D7:U7),2))</f>
        <v>1</v>
      </c>
      <c r="V7" s="2">
        <f>IF(SUM('PV (Kế hoạch)'!$D7:V7)=0,"",ROUND(SUM('EV (Hoàn thành thực tế)'!$D7:V7)/SUM('PV (Kế hoạch)'!$D7:V7),2))</f>
        <v>1</v>
      </c>
      <c r="W7" s="2">
        <f>IF(SUM('PV (Kế hoạch)'!$D7:W7)=0,"",ROUND(SUM('EV (Hoàn thành thực tế)'!$D7:W7)/SUM('PV (Kế hoạch)'!$D7:W7),2))</f>
        <v>1</v>
      </c>
      <c r="X7" s="2">
        <f>IF(SUM('PV (Kế hoạch)'!$D7:X7)=0,"",ROUND(SUM('EV (Hoàn thành thực tế)'!$D7:X7)/SUM('PV (Kế hoạch)'!$D7:X7),2))</f>
        <v>1</v>
      </c>
      <c r="Y7" s="2">
        <f>IF(SUM('PV (Kế hoạch)'!$D7:Y7)=0,"",ROUND(SUM('EV (Hoàn thành thực tế)'!$D7:Y7)/SUM('PV (Kế hoạch)'!$D7:Y7),2))</f>
        <v>1</v>
      </c>
      <c r="Z7" s="2">
        <f>IF(SUM('PV (Kế hoạch)'!$D7:Z7)=0,"",ROUND(SUM('EV (Hoàn thành thực tế)'!$D7:Z7)/SUM('PV (Kế hoạch)'!$D7:Z7),2))</f>
        <v>1</v>
      </c>
      <c r="AA7" s="2">
        <f>IF(SUM('PV (Kế hoạch)'!$D7:AA7)=0,"",ROUND(SUM('EV (Hoàn thành thực tế)'!$D7:AA7)/SUM('PV (Kế hoạch)'!$D7:AA7),2))</f>
        <v>1</v>
      </c>
    </row>
    <row r="8" spans="2:27" ht="21.95" customHeight="1">
      <c r="B8" s="2">
        <f>IF('PV (Kế hoạch)'!B8="","",'PV (Kế hoạch)'!B8)</f>
        <v>6</v>
      </c>
      <c r="C8" s="3" t="str">
        <f>IF('PV (Kế hoạch)'!C8="","",'PV (Kế hoạch)'!C8)</f>
        <v>Phát triển Backend - Module Order</v>
      </c>
      <c r="D8" s="2" t="str">
        <f>IF(SUM('PV (Kế hoạch)'!$D8:D8)=0,"",ROUND(SUM('EV (Hoàn thành thực tế)'!$D8:D8)/SUM('PV (Kế hoạch)'!$D8:D8),2))</f>
        <v/>
      </c>
      <c r="E8" s="2" t="str">
        <f>IF(SUM('PV (Kế hoạch)'!$D8:E8)=0,"",ROUND(SUM('EV (Hoàn thành thực tế)'!$D8:E8)/SUM('PV (Kế hoạch)'!$D8:E8),2))</f>
        <v/>
      </c>
      <c r="F8" s="2" t="str">
        <f>IF(SUM('PV (Kế hoạch)'!$D8:F8)=0,"",ROUND(SUM('EV (Hoàn thành thực tế)'!$D8:F8)/SUM('PV (Kế hoạch)'!$D8:F8),2))</f>
        <v/>
      </c>
      <c r="G8" s="2" t="str">
        <f>IF(SUM('PV (Kế hoạch)'!$D8:G8)=0,"",ROUND(SUM('EV (Hoàn thành thực tế)'!$D8:G8)/SUM('PV (Kế hoạch)'!$D8:G8),2))</f>
        <v/>
      </c>
      <c r="H8" s="2" t="str">
        <f>IF(SUM('PV (Kế hoạch)'!$D8:H8)=0,"",ROUND(SUM('EV (Hoàn thành thực tế)'!$D8:H8)/SUM('PV (Kế hoạch)'!$D8:H8),2))</f>
        <v/>
      </c>
      <c r="I8" s="2" t="str">
        <f>IF(SUM('PV (Kế hoạch)'!$D8:I8)=0,"",ROUND(SUM('EV (Hoàn thành thực tế)'!$D8:I8)/SUM('PV (Kế hoạch)'!$D8:I8),2))</f>
        <v/>
      </c>
      <c r="J8" s="2" t="str">
        <f>IF(SUM('PV (Kế hoạch)'!$D8:J8)=0,"",ROUND(SUM('EV (Hoàn thành thực tế)'!$D8:J8)/SUM('PV (Kế hoạch)'!$D8:J8),2))</f>
        <v/>
      </c>
      <c r="K8" s="2">
        <f>IF(SUM('PV (Kế hoạch)'!$D8:K8)=0,"",ROUND(SUM('EV (Hoàn thành thực tế)'!$D8:K8)/SUM('PV (Kế hoạch)'!$D8:K8),2))</f>
        <v>1</v>
      </c>
      <c r="L8" s="2">
        <f>IF(SUM('PV (Kế hoạch)'!$D8:L8)=0,"",ROUND(SUM('EV (Hoàn thành thực tế)'!$D8:L8)/SUM('PV (Kế hoạch)'!$D8:L8),2))</f>
        <v>1</v>
      </c>
      <c r="M8" s="2">
        <f>IF(SUM('PV (Kế hoạch)'!$D8:M8)=0,"",ROUND(SUM('EV (Hoàn thành thực tế)'!$D8:M8)/SUM('PV (Kế hoạch)'!$D8:M8),2))</f>
        <v>1</v>
      </c>
      <c r="N8" s="2">
        <f>IF(SUM('PV (Kế hoạch)'!$D8:N8)=0,"",ROUND(SUM('EV (Hoàn thành thực tế)'!$D8:N8)/SUM('PV (Kế hoạch)'!$D8:N8),2))</f>
        <v>1</v>
      </c>
      <c r="O8" s="2">
        <f>IF(SUM('PV (Kế hoạch)'!$D8:O8)=0,"",ROUND(SUM('EV (Hoàn thành thực tế)'!$D8:O8)/SUM('PV (Kế hoạch)'!$D8:O8),2))</f>
        <v>1</v>
      </c>
      <c r="P8" s="2">
        <f>IF(SUM('PV (Kế hoạch)'!$D8:P8)=0,"",ROUND(SUM('EV (Hoàn thành thực tế)'!$D8:P8)/SUM('PV (Kế hoạch)'!$D8:P8),2))</f>
        <v>1</v>
      </c>
      <c r="Q8" s="2">
        <f>IF(SUM('PV (Kế hoạch)'!$D8:Q8)=0,"",ROUND(SUM('EV (Hoàn thành thực tế)'!$D8:Q8)/SUM('PV (Kế hoạch)'!$D8:Q8),2))</f>
        <v>1</v>
      </c>
      <c r="R8" s="2">
        <f>IF(SUM('PV (Kế hoạch)'!$D8:R8)=0,"",ROUND(SUM('EV (Hoàn thành thực tế)'!$D8:R8)/SUM('PV (Kế hoạch)'!$D8:R8),2))</f>
        <v>1</v>
      </c>
      <c r="S8" s="2">
        <f>IF(SUM('PV (Kế hoạch)'!$D8:S8)=0,"",ROUND(SUM('EV (Hoàn thành thực tế)'!$D8:S8)/SUM('PV (Kế hoạch)'!$D8:S8),2))</f>
        <v>1</v>
      </c>
      <c r="T8" s="2">
        <f>IF(SUM('PV (Kế hoạch)'!$D8:T8)=0,"",ROUND(SUM('EV (Hoàn thành thực tế)'!$D8:T8)/SUM('PV (Kế hoạch)'!$D8:T8),2))</f>
        <v>1</v>
      </c>
      <c r="U8" s="2">
        <f>IF(SUM('PV (Kế hoạch)'!$D8:U8)=0,"",ROUND(SUM('EV (Hoàn thành thực tế)'!$D8:U8)/SUM('PV (Kế hoạch)'!$D8:U8),2))</f>
        <v>1</v>
      </c>
      <c r="V8" s="2">
        <f>IF(SUM('PV (Kế hoạch)'!$D8:V8)=0,"",ROUND(SUM('EV (Hoàn thành thực tế)'!$D8:V8)/SUM('PV (Kế hoạch)'!$D8:V8),2))</f>
        <v>1</v>
      </c>
      <c r="W8" s="2">
        <f>IF(SUM('PV (Kế hoạch)'!$D8:W8)=0,"",ROUND(SUM('EV (Hoàn thành thực tế)'!$D8:W8)/SUM('PV (Kế hoạch)'!$D8:W8),2))</f>
        <v>1</v>
      </c>
      <c r="X8" s="2">
        <f>IF(SUM('PV (Kế hoạch)'!$D8:X8)=0,"",ROUND(SUM('EV (Hoàn thành thực tế)'!$D8:X8)/SUM('PV (Kế hoạch)'!$D8:X8),2))</f>
        <v>1</v>
      </c>
      <c r="Y8" s="2">
        <f>IF(SUM('PV (Kế hoạch)'!$D8:Y8)=0,"",ROUND(SUM('EV (Hoàn thành thực tế)'!$D8:Y8)/SUM('PV (Kế hoạch)'!$D8:Y8),2))</f>
        <v>1</v>
      </c>
      <c r="Z8" s="2">
        <f>IF(SUM('PV (Kế hoạch)'!$D8:Z8)=0,"",ROUND(SUM('EV (Hoàn thành thực tế)'!$D8:Z8)/SUM('PV (Kế hoạch)'!$D8:Z8),2))</f>
        <v>1</v>
      </c>
      <c r="AA8" s="2">
        <f>IF(SUM('PV (Kế hoạch)'!$D8:AA8)=0,"",ROUND(SUM('EV (Hoàn thành thực tế)'!$D8:AA8)/SUM('PV (Kế hoạch)'!$D8:AA8),2))</f>
        <v>1</v>
      </c>
    </row>
    <row r="9" spans="2:27" ht="21.95" customHeight="1">
      <c r="B9" s="2">
        <f>IF('PV (Kế hoạch)'!B9="","",'PV (Kế hoạch)'!B9)</f>
        <v>7</v>
      </c>
      <c r="C9" s="3" t="str">
        <f>IF('PV (Kế hoạch)'!C9="","",'PV (Kế hoạch)'!C9)</f>
        <v>Phát triển Backend - Module Payment</v>
      </c>
      <c r="D9" s="2" t="str">
        <f>IF(SUM('PV (Kế hoạch)'!$D9:D9)=0,"",ROUND(SUM('EV (Hoàn thành thực tế)'!$D9:D9)/SUM('PV (Kế hoạch)'!$D9:D9),2))</f>
        <v/>
      </c>
      <c r="E9" s="2" t="str">
        <f>IF(SUM('PV (Kế hoạch)'!$D9:E9)=0,"",ROUND(SUM('EV (Hoàn thành thực tế)'!$D9:E9)/SUM('PV (Kế hoạch)'!$D9:E9),2))</f>
        <v/>
      </c>
      <c r="F9" s="2" t="str">
        <f>IF(SUM('PV (Kế hoạch)'!$D9:F9)=0,"",ROUND(SUM('EV (Hoàn thành thực tế)'!$D9:F9)/SUM('PV (Kế hoạch)'!$D9:F9),2))</f>
        <v/>
      </c>
      <c r="G9" s="2" t="str">
        <f>IF(SUM('PV (Kế hoạch)'!$D9:G9)=0,"",ROUND(SUM('EV (Hoàn thành thực tế)'!$D9:G9)/SUM('PV (Kế hoạch)'!$D9:G9),2))</f>
        <v/>
      </c>
      <c r="H9" s="2" t="str">
        <f>IF(SUM('PV (Kế hoạch)'!$D9:H9)=0,"",ROUND(SUM('EV (Hoàn thành thực tế)'!$D9:H9)/SUM('PV (Kế hoạch)'!$D9:H9),2))</f>
        <v/>
      </c>
      <c r="I9" s="2" t="str">
        <f>IF(SUM('PV (Kế hoạch)'!$D9:I9)=0,"",ROUND(SUM('EV (Hoàn thành thực tế)'!$D9:I9)/SUM('PV (Kế hoạch)'!$D9:I9),2))</f>
        <v/>
      </c>
      <c r="J9" s="2" t="str">
        <f>IF(SUM('PV (Kế hoạch)'!$D9:J9)=0,"",ROUND(SUM('EV (Hoàn thành thực tế)'!$D9:J9)/SUM('PV (Kế hoạch)'!$D9:J9),2))</f>
        <v/>
      </c>
      <c r="K9" s="2" t="str">
        <f>IF(SUM('PV (Kế hoạch)'!$D9:K9)=0,"",ROUND(SUM('EV (Hoàn thành thực tế)'!$D9:K9)/SUM('PV (Kế hoạch)'!$D9:K9),2))</f>
        <v/>
      </c>
      <c r="L9" s="2" t="str">
        <f>IF(SUM('PV (Kế hoạch)'!$D9:L9)=0,"",ROUND(SUM('EV (Hoàn thành thực tế)'!$D9:L9)/SUM('PV (Kế hoạch)'!$D9:L9),2))</f>
        <v/>
      </c>
      <c r="M9" s="2">
        <f>IF(SUM('PV (Kế hoạch)'!$D9:M9)=0,"",ROUND(SUM('EV (Hoàn thành thực tế)'!$D9:M9)/SUM('PV (Kế hoạch)'!$D9:M9),2))</f>
        <v>1.02</v>
      </c>
      <c r="N9" s="2">
        <f>IF(SUM('PV (Kế hoạch)'!$D9:N9)=0,"",ROUND(SUM('EV (Hoàn thành thực tế)'!$D9:N9)/SUM('PV (Kế hoạch)'!$D9:N9),2))</f>
        <v>1</v>
      </c>
      <c r="O9" s="2">
        <f>IF(SUM('PV (Kế hoạch)'!$D9:O9)=0,"",ROUND(SUM('EV (Hoàn thành thực tế)'!$D9:O9)/SUM('PV (Kế hoạch)'!$D9:O9),2))</f>
        <v>1.01</v>
      </c>
      <c r="P9" s="2">
        <f>IF(SUM('PV (Kế hoạch)'!$D9:P9)=0,"",ROUND(SUM('EV (Hoàn thành thực tế)'!$D9:P9)/SUM('PV (Kế hoạch)'!$D9:P9),2))</f>
        <v>1</v>
      </c>
      <c r="Q9" s="2">
        <f>IF(SUM('PV (Kế hoạch)'!$D9:Q9)=0,"",ROUND(SUM('EV (Hoàn thành thực tế)'!$D9:Q9)/SUM('PV (Kế hoạch)'!$D9:Q9),2))</f>
        <v>1</v>
      </c>
      <c r="R9" s="2">
        <f>IF(SUM('PV (Kế hoạch)'!$D9:R9)=0,"",ROUND(SUM('EV (Hoàn thành thực tế)'!$D9:R9)/SUM('PV (Kế hoạch)'!$D9:R9),2))</f>
        <v>1</v>
      </c>
      <c r="S9" s="2">
        <f>IF(SUM('PV (Kế hoạch)'!$D9:S9)=0,"",ROUND(SUM('EV (Hoàn thành thực tế)'!$D9:S9)/SUM('PV (Kế hoạch)'!$D9:S9),2))</f>
        <v>1</v>
      </c>
      <c r="T9" s="2">
        <f>IF(SUM('PV (Kế hoạch)'!$D9:T9)=0,"",ROUND(SUM('EV (Hoàn thành thực tế)'!$D9:T9)/SUM('PV (Kế hoạch)'!$D9:T9),2))</f>
        <v>1</v>
      </c>
      <c r="U9" s="2">
        <f>IF(SUM('PV (Kế hoạch)'!$D9:U9)=0,"",ROUND(SUM('EV (Hoàn thành thực tế)'!$D9:U9)/SUM('PV (Kế hoạch)'!$D9:U9),2))</f>
        <v>1</v>
      </c>
      <c r="V9" s="2">
        <f>IF(SUM('PV (Kế hoạch)'!$D9:V9)=0,"",ROUND(SUM('EV (Hoàn thành thực tế)'!$D9:V9)/SUM('PV (Kế hoạch)'!$D9:V9),2))</f>
        <v>1</v>
      </c>
      <c r="W9" s="2">
        <f>IF(SUM('PV (Kế hoạch)'!$D9:W9)=0,"",ROUND(SUM('EV (Hoàn thành thực tế)'!$D9:W9)/SUM('PV (Kế hoạch)'!$D9:W9),2))</f>
        <v>1</v>
      </c>
      <c r="X9" s="2">
        <f>IF(SUM('PV (Kế hoạch)'!$D9:X9)=0,"",ROUND(SUM('EV (Hoàn thành thực tế)'!$D9:X9)/SUM('PV (Kế hoạch)'!$D9:X9),2))</f>
        <v>1</v>
      </c>
      <c r="Y9" s="2">
        <f>IF(SUM('PV (Kế hoạch)'!$D9:Y9)=0,"",ROUND(SUM('EV (Hoàn thành thực tế)'!$D9:Y9)/SUM('PV (Kế hoạch)'!$D9:Y9),2))</f>
        <v>1</v>
      </c>
      <c r="Z9" s="2">
        <f>IF(SUM('PV (Kế hoạch)'!$D9:Z9)=0,"",ROUND(SUM('EV (Hoàn thành thực tế)'!$D9:Z9)/SUM('PV (Kế hoạch)'!$D9:Z9),2))</f>
        <v>1</v>
      </c>
      <c r="AA9" s="2">
        <f>IF(SUM('PV (Kế hoạch)'!$D9:AA9)=0,"",ROUND(SUM('EV (Hoàn thành thực tế)'!$D9:AA9)/SUM('PV (Kế hoạch)'!$D9:AA9),2))</f>
        <v>1</v>
      </c>
    </row>
    <row r="10" spans="2:27" ht="21.95" customHeight="1">
      <c r="B10" s="2">
        <f>IF('PV (Kế hoạch)'!B10="","",'PV (Kế hoạch)'!B10)</f>
        <v>8</v>
      </c>
      <c r="C10" s="3" t="str">
        <f>IF('PV (Kế hoạch)'!C10="","",'PV (Kế hoạch)'!C10)</f>
        <v>Phát triển Backend - Module Report</v>
      </c>
      <c r="D10" s="2" t="str">
        <f>IF(SUM('PV (Kế hoạch)'!$D10:D10)=0,"",ROUND(SUM('EV (Hoàn thành thực tế)'!$D10:D10)/SUM('PV (Kế hoạch)'!$D10:D10),2))</f>
        <v/>
      </c>
      <c r="E10" s="2" t="str">
        <f>IF(SUM('PV (Kế hoạch)'!$D10:E10)=0,"",ROUND(SUM('EV (Hoàn thành thực tế)'!$D10:E10)/SUM('PV (Kế hoạch)'!$D10:E10),2))</f>
        <v/>
      </c>
      <c r="F10" s="2" t="str">
        <f>IF(SUM('PV (Kế hoạch)'!$D10:F10)=0,"",ROUND(SUM('EV (Hoàn thành thực tế)'!$D10:F10)/SUM('PV (Kế hoạch)'!$D10:F10),2))</f>
        <v/>
      </c>
      <c r="G10" s="2" t="str">
        <f>IF(SUM('PV (Kế hoạch)'!$D10:G10)=0,"",ROUND(SUM('EV (Hoàn thành thực tế)'!$D10:G10)/SUM('PV (Kế hoạch)'!$D10:G10),2))</f>
        <v/>
      </c>
      <c r="H10" s="2" t="str">
        <f>IF(SUM('PV (Kế hoạch)'!$D10:H10)=0,"",ROUND(SUM('EV (Hoàn thành thực tế)'!$D10:H10)/SUM('PV (Kế hoạch)'!$D10:H10),2))</f>
        <v/>
      </c>
      <c r="I10" s="2" t="str">
        <f>IF(SUM('PV (Kế hoạch)'!$D10:I10)=0,"",ROUND(SUM('EV (Hoàn thành thực tế)'!$D10:I10)/SUM('PV (Kế hoạch)'!$D10:I10),2))</f>
        <v/>
      </c>
      <c r="J10" s="2" t="str">
        <f>IF(SUM('PV (Kế hoạch)'!$D10:J10)=0,"",ROUND(SUM('EV (Hoàn thành thực tế)'!$D10:J10)/SUM('PV (Kế hoạch)'!$D10:J10),2))</f>
        <v/>
      </c>
      <c r="K10" s="2" t="str">
        <f>IF(SUM('PV (Kế hoạch)'!$D10:K10)=0,"",ROUND(SUM('EV (Hoàn thành thực tế)'!$D10:K10)/SUM('PV (Kế hoạch)'!$D10:K10),2))</f>
        <v/>
      </c>
      <c r="L10" s="2" t="str">
        <f>IF(SUM('PV (Kế hoạch)'!$D10:L10)=0,"",ROUND(SUM('EV (Hoàn thành thực tế)'!$D10:L10)/SUM('PV (Kế hoạch)'!$D10:L10),2))</f>
        <v/>
      </c>
      <c r="M10" s="2" t="str">
        <f>IF(SUM('PV (Kế hoạch)'!$D10:M10)=0,"",ROUND(SUM('EV (Hoàn thành thực tế)'!$D10:M10)/SUM('PV (Kế hoạch)'!$D10:M10),2))</f>
        <v/>
      </c>
      <c r="N10" s="2" t="str">
        <f>IF(SUM('PV (Kế hoạch)'!$D10:N10)=0,"",ROUND(SUM('EV (Hoàn thành thực tế)'!$D10:N10)/SUM('PV (Kế hoạch)'!$D10:N10),2))</f>
        <v/>
      </c>
      <c r="O10" s="2">
        <f>IF(SUM('PV (Kế hoạch)'!$D10:O10)=0,"",ROUND(SUM('EV (Hoàn thành thực tế)'!$D10:O10)/SUM('PV (Kế hoạch)'!$D10:O10),2))</f>
        <v>0.98</v>
      </c>
      <c r="P10" s="2">
        <f>IF(SUM('PV (Kế hoạch)'!$D10:P10)=0,"",ROUND(SUM('EV (Hoàn thành thực tế)'!$D10:P10)/SUM('PV (Kế hoạch)'!$D10:P10),2))</f>
        <v>1.01</v>
      </c>
      <c r="Q10" s="2">
        <f>IF(SUM('PV (Kế hoạch)'!$D10:Q10)=0,"",ROUND(SUM('EV (Hoàn thành thực tế)'!$D10:Q10)/SUM('PV (Kế hoạch)'!$D10:Q10),2))</f>
        <v>1</v>
      </c>
      <c r="R10" s="2">
        <f>IF(SUM('PV (Kế hoạch)'!$D10:R10)=0,"",ROUND(SUM('EV (Hoàn thành thực tế)'!$D10:R10)/SUM('PV (Kế hoạch)'!$D10:R10),2))</f>
        <v>1</v>
      </c>
      <c r="S10" s="2">
        <f>IF(SUM('PV (Kế hoạch)'!$D10:S10)=0,"",ROUND(SUM('EV (Hoàn thành thực tế)'!$D10:S10)/SUM('PV (Kế hoạch)'!$D10:S10),2))</f>
        <v>1</v>
      </c>
      <c r="T10" s="2">
        <f>IF(SUM('PV (Kế hoạch)'!$D10:T10)=0,"",ROUND(SUM('EV (Hoàn thành thực tế)'!$D10:T10)/SUM('PV (Kế hoạch)'!$D10:T10),2))</f>
        <v>1</v>
      </c>
      <c r="U10" s="2">
        <f>IF(SUM('PV (Kế hoạch)'!$D10:U10)=0,"",ROUND(SUM('EV (Hoàn thành thực tế)'!$D10:U10)/SUM('PV (Kế hoạch)'!$D10:U10),2))</f>
        <v>1</v>
      </c>
      <c r="V10" s="2">
        <f>IF(SUM('PV (Kế hoạch)'!$D10:V10)=0,"",ROUND(SUM('EV (Hoàn thành thực tế)'!$D10:V10)/SUM('PV (Kế hoạch)'!$D10:V10),2))</f>
        <v>1</v>
      </c>
      <c r="W10" s="2">
        <f>IF(SUM('PV (Kế hoạch)'!$D10:W10)=0,"",ROUND(SUM('EV (Hoàn thành thực tế)'!$D10:W10)/SUM('PV (Kế hoạch)'!$D10:W10),2))</f>
        <v>1</v>
      </c>
      <c r="X10" s="2">
        <f>IF(SUM('PV (Kế hoạch)'!$D10:X10)=0,"",ROUND(SUM('EV (Hoàn thành thực tế)'!$D10:X10)/SUM('PV (Kế hoạch)'!$D10:X10),2))</f>
        <v>1</v>
      </c>
      <c r="Y10" s="2">
        <f>IF(SUM('PV (Kế hoạch)'!$D10:Y10)=0,"",ROUND(SUM('EV (Hoàn thành thực tế)'!$D10:Y10)/SUM('PV (Kế hoạch)'!$D10:Y10),2))</f>
        <v>1</v>
      </c>
      <c r="Z10" s="2">
        <f>IF(SUM('PV (Kế hoạch)'!$D10:Z10)=0,"",ROUND(SUM('EV (Hoàn thành thực tế)'!$D10:Z10)/SUM('PV (Kế hoạch)'!$D10:Z10),2))</f>
        <v>1</v>
      </c>
      <c r="AA10" s="2">
        <f>IF(SUM('PV (Kế hoạch)'!$D10:AA10)=0,"",ROUND(SUM('EV (Hoàn thành thực tế)'!$D10:AA10)/SUM('PV (Kế hoạch)'!$D10:AA10),2))</f>
        <v>1</v>
      </c>
    </row>
    <row r="11" spans="2:27" ht="21.95" customHeight="1">
      <c r="B11" s="2">
        <f>IF('PV (Kế hoạch)'!B11="","",'PV (Kế hoạch)'!B11)</f>
        <v>9</v>
      </c>
      <c r="C11" s="3" t="str">
        <f>IF('PV (Kế hoạch)'!C11="","",'PV (Kế hoạch)'!C11)</f>
        <v>Phát triển Frontend - Trang chủ</v>
      </c>
      <c r="D11" s="2" t="str">
        <f>IF(SUM('PV (Kế hoạch)'!$D11:D11)=0,"",ROUND(SUM('EV (Hoàn thành thực tế)'!$D11:D11)/SUM('PV (Kế hoạch)'!$D11:D11),2))</f>
        <v/>
      </c>
      <c r="E11" s="2" t="str">
        <f>IF(SUM('PV (Kế hoạch)'!$D11:E11)=0,"",ROUND(SUM('EV (Hoàn thành thực tế)'!$D11:E11)/SUM('PV (Kế hoạch)'!$D11:E11),2))</f>
        <v/>
      </c>
      <c r="F11" s="2" t="str">
        <f>IF(SUM('PV (Kế hoạch)'!$D11:F11)=0,"",ROUND(SUM('EV (Hoàn thành thực tế)'!$D11:F11)/SUM('PV (Kế hoạch)'!$D11:F11),2))</f>
        <v/>
      </c>
      <c r="G11" s="2" t="str">
        <f>IF(SUM('PV (Kế hoạch)'!$D11:G11)=0,"",ROUND(SUM('EV (Hoàn thành thực tế)'!$D11:G11)/SUM('PV (Kế hoạch)'!$D11:G11),2))</f>
        <v/>
      </c>
      <c r="H11" s="2" t="str">
        <f>IF(SUM('PV (Kế hoạch)'!$D11:H11)=0,"",ROUND(SUM('EV (Hoàn thành thực tế)'!$D11:H11)/SUM('PV (Kế hoạch)'!$D11:H11),2))</f>
        <v/>
      </c>
      <c r="I11" s="2" t="str">
        <f>IF(SUM('PV (Kế hoạch)'!$D11:I11)=0,"",ROUND(SUM('EV (Hoàn thành thực tế)'!$D11:I11)/SUM('PV (Kế hoạch)'!$D11:I11),2))</f>
        <v/>
      </c>
      <c r="J11" s="2">
        <f>IF(SUM('PV (Kế hoạch)'!$D11:J11)=0,"",ROUND(SUM('EV (Hoàn thành thực tế)'!$D11:J11)/SUM('PV (Kế hoạch)'!$D11:J11),2))</f>
        <v>1</v>
      </c>
      <c r="K11" s="2">
        <f>IF(SUM('PV (Kế hoạch)'!$D11:K11)=0,"",ROUND(SUM('EV (Hoàn thành thực tế)'!$D11:K11)/SUM('PV (Kế hoạch)'!$D11:K11),2))</f>
        <v>1.01</v>
      </c>
      <c r="L11" s="2">
        <f>IF(SUM('PV (Kế hoạch)'!$D11:L11)=0,"",ROUND(SUM('EV (Hoàn thành thực tế)'!$D11:L11)/SUM('PV (Kế hoạch)'!$D11:L11),2))</f>
        <v>1</v>
      </c>
      <c r="M11" s="2">
        <f>IF(SUM('PV (Kế hoạch)'!$D11:M11)=0,"",ROUND(SUM('EV (Hoàn thành thực tế)'!$D11:M11)/SUM('PV (Kế hoạch)'!$D11:M11),2))</f>
        <v>1</v>
      </c>
      <c r="N11" s="2">
        <f>IF(SUM('PV (Kế hoạch)'!$D11:N11)=0,"",ROUND(SUM('EV (Hoàn thành thực tế)'!$D11:N11)/SUM('PV (Kế hoạch)'!$D11:N11),2))</f>
        <v>1</v>
      </c>
      <c r="O11" s="2">
        <f>IF(SUM('PV (Kế hoạch)'!$D11:O11)=0,"",ROUND(SUM('EV (Hoàn thành thực tế)'!$D11:O11)/SUM('PV (Kế hoạch)'!$D11:O11),2))</f>
        <v>1</v>
      </c>
      <c r="P11" s="2">
        <f>IF(SUM('PV (Kế hoạch)'!$D11:P11)=0,"",ROUND(SUM('EV (Hoàn thành thực tế)'!$D11:P11)/SUM('PV (Kế hoạch)'!$D11:P11),2))</f>
        <v>1</v>
      </c>
      <c r="Q11" s="2">
        <f>IF(SUM('PV (Kế hoạch)'!$D11:Q11)=0,"",ROUND(SUM('EV (Hoàn thành thực tế)'!$D11:Q11)/SUM('PV (Kế hoạch)'!$D11:Q11),2))</f>
        <v>1</v>
      </c>
      <c r="R11" s="2">
        <f>IF(SUM('PV (Kế hoạch)'!$D11:R11)=0,"",ROUND(SUM('EV (Hoàn thành thực tế)'!$D11:R11)/SUM('PV (Kế hoạch)'!$D11:R11),2))</f>
        <v>1</v>
      </c>
      <c r="S11" s="2">
        <f>IF(SUM('PV (Kế hoạch)'!$D11:S11)=0,"",ROUND(SUM('EV (Hoàn thành thực tế)'!$D11:S11)/SUM('PV (Kế hoạch)'!$D11:S11),2))</f>
        <v>1</v>
      </c>
      <c r="T11" s="2">
        <f>IF(SUM('PV (Kế hoạch)'!$D11:T11)=0,"",ROUND(SUM('EV (Hoàn thành thực tế)'!$D11:T11)/SUM('PV (Kế hoạch)'!$D11:T11),2))</f>
        <v>1</v>
      </c>
      <c r="U11" s="2">
        <f>IF(SUM('PV (Kế hoạch)'!$D11:U11)=0,"",ROUND(SUM('EV (Hoàn thành thực tế)'!$D11:U11)/SUM('PV (Kế hoạch)'!$D11:U11),2))</f>
        <v>1</v>
      </c>
      <c r="V11" s="2">
        <f>IF(SUM('PV (Kế hoạch)'!$D11:V11)=0,"",ROUND(SUM('EV (Hoàn thành thực tế)'!$D11:V11)/SUM('PV (Kế hoạch)'!$D11:V11),2))</f>
        <v>1</v>
      </c>
      <c r="W11" s="2">
        <f>IF(SUM('PV (Kế hoạch)'!$D11:W11)=0,"",ROUND(SUM('EV (Hoàn thành thực tế)'!$D11:W11)/SUM('PV (Kế hoạch)'!$D11:W11),2))</f>
        <v>1</v>
      </c>
      <c r="X11" s="2">
        <f>IF(SUM('PV (Kế hoạch)'!$D11:X11)=0,"",ROUND(SUM('EV (Hoàn thành thực tế)'!$D11:X11)/SUM('PV (Kế hoạch)'!$D11:X11),2))</f>
        <v>1</v>
      </c>
      <c r="Y11" s="2">
        <f>IF(SUM('PV (Kế hoạch)'!$D11:Y11)=0,"",ROUND(SUM('EV (Hoàn thành thực tế)'!$D11:Y11)/SUM('PV (Kế hoạch)'!$D11:Y11),2))</f>
        <v>1</v>
      </c>
      <c r="Z11" s="2">
        <f>IF(SUM('PV (Kế hoạch)'!$D11:Z11)=0,"",ROUND(SUM('EV (Hoàn thành thực tế)'!$D11:Z11)/SUM('PV (Kế hoạch)'!$D11:Z11),2))</f>
        <v>1</v>
      </c>
      <c r="AA11" s="2">
        <f>IF(SUM('PV (Kế hoạch)'!$D11:AA11)=0,"",ROUND(SUM('EV (Hoàn thành thực tế)'!$D11:AA11)/SUM('PV (Kế hoạch)'!$D11:AA11),2))</f>
        <v>1</v>
      </c>
    </row>
    <row r="12" spans="2:27" ht="21.95" customHeight="1">
      <c r="B12" s="2">
        <f>IF('PV (Kế hoạch)'!B12="","",'PV (Kế hoạch)'!B12)</f>
        <v>10</v>
      </c>
      <c r="C12" s="3" t="str">
        <f>IF('PV (Kế hoạch)'!C12="","",'PV (Kế hoạch)'!C12)</f>
        <v>Phát triển Frontend - Module User</v>
      </c>
      <c r="D12" s="2" t="str">
        <f>IF(SUM('PV (Kế hoạch)'!$D12:D12)=0,"",ROUND(SUM('EV (Hoàn thành thực tế)'!$D12:D12)/SUM('PV (Kế hoạch)'!$D12:D12),2))</f>
        <v/>
      </c>
      <c r="E12" s="2" t="str">
        <f>IF(SUM('PV (Kế hoạch)'!$D12:E12)=0,"",ROUND(SUM('EV (Hoàn thành thực tế)'!$D12:E12)/SUM('PV (Kế hoạch)'!$D12:E12),2))</f>
        <v/>
      </c>
      <c r="F12" s="2" t="str">
        <f>IF(SUM('PV (Kế hoạch)'!$D12:F12)=0,"",ROUND(SUM('EV (Hoàn thành thực tế)'!$D12:F12)/SUM('PV (Kế hoạch)'!$D12:F12),2))</f>
        <v/>
      </c>
      <c r="G12" s="2" t="str">
        <f>IF(SUM('PV (Kế hoạch)'!$D12:G12)=0,"",ROUND(SUM('EV (Hoàn thành thực tế)'!$D12:G12)/SUM('PV (Kế hoạch)'!$D12:G12),2))</f>
        <v/>
      </c>
      <c r="H12" s="2" t="str">
        <f>IF(SUM('PV (Kế hoạch)'!$D12:H12)=0,"",ROUND(SUM('EV (Hoàn thành thực tế)'!$D12:H12)/SUM('PV (Kế hoạch)'!$D12:H12),2))</f>
        <v/>
      </c>
      <c r="I12" s="2" t="str">
        <f>IF(SUM('PV (Kế hoạch)'!$D12:I12)=0,"",ROUND(SUM('EV (Hoàn thành thực tế)'!$D12:I12)/SUM('PV (Kế hoạch)'!$D12:I12),2))</f>
        <v/>
      </c>
      <c r="J12" s="2" t="str">
        <f>IF(SUM('PV (Kế hoạch)'!$D12:J12)=0,"",ROUND(SUM('EV (Hoàn thành thực tế)'!$D12:J12)/SUM('PV (Kế hoạch)'!$D12:J12),2))</f>
        <v/>
      </c>
      <c r="K12" s="2" t="str">
        <f>IF(SUM('PV (Kế hoạch)'!$D12:K12)=0,"",ROUND(SUM('EV (Hoàn thành thực tế)'!$D12:K12)/SUM('PV (Kế hoạch)'!$D12:K12),2))</f>
        <v/>
      </c>
      <c r="L12" s="2">
        <f>IF(SUM('PV (Kế hoạch)'!$D12:L12)=0,"",ROUND(SUM('EV (Hoàn thành thực tế)'!$D12:L12)/SUM('PV (Kế hoạch)'!$D12:L12),2))</f>
        <v>0.98</v>
      </c>
      <c r="M12" s="2">
        <f>IF(SUM('PV (Kế hoạch)'!$D12:M12)=0,"",ROUND(SUM('EV (Hoàn thành thực tế)'!$D12:M12)/SUM('PV (Kế hoạch)'!$D12:M12),2))</f>
        <v>1.01</v>
      </c>
      <c r="N12" s="2">
        <f>IF(SUM('PV (Kế hoạch)'!$D12:N12)=0,"",ROUND(SUM('EV (Hoàn thành thực tế)'!$D12:N12)/SUM('PV (Kế hoạch)'!$D12:N12),2))</f>
        <v>1</v>
      </c>
      <c r="O12" s="2">
        <f>IF(SUM('PV (Kế hoạch)'!$D12:O12)=0,"",ROUND(SUM('EV (Hoàn thành thực tế)'!$D12:O12)/SUM('PV (Kế hoạch)'!$D12:O12),2))</f>
        <v>1</v>
      </c>
      <c r="P12" s="2">
        <f>IF(SUM('PV (Kế hoạch)'!$D12:P12)=0,"",ROUND(SUM('EV (Hoàn thành thực tế)'!$D12:P12)/SUM('PV (Kế hoạch)'!$D12:P12),2))</f>
        <v>1</v>
      </c>
      <c r="Q12" s="2">
        <f>IF(SUM('PV (Kế hoạch)'!$D12:Q12)=0,"",ROUND(SUM('EV (Hoàn thành thực tế)'!$D12:Q12)/SUM('PV (Kế hoạch)'!$D12:Q12),2))</f>
        <v>1</v>
      </c>
      <c r="R12" s="2">
        <f>IF(SUM('PV (Kế hoạch)'!$D12:R12)=0,"",ROUND(SUM('EV (Hoàn thành thực tế)'!$D12:R12)/SUM('PV (Kế hoạch)'!$D12:R12),2))</f>
        <v>1</v>
      </c>
      <c r="S12" s="2">
        <f>IF(SUM('PV (Kế hoạch)'!$D12:S12)=0,"",ROUND(SUM('EV (Hoàn thành thực tế)'!$D12:S12)/SUM('PV (Kế hoạch)'!$D12:S12),2))</f>
        <v>1</v>
      </c>
      <c r="T12" s="2">
        <f>IF(SUM('PV (Kế hoạch)'!$D12:T12)=0,"",ROUND(SUM('EV (Hoàn thành thực tế)'!$D12:T12)/SUM('PV (Kế hoạch)'!$D12:T12),2))</f>
        <v>1</v>
      </c>
      <c r="U12" s="2">
        <f>IF(SUM('PV (Kế hoạch)'!$D12:U12)=0,"",ROUND(SUM('EV (Hoàn thành thực tế)'!$D12:U12)/SUM('PV (Kế hoạch)'!$D12:U12),2))</f>
        <v>1</v>
      </c>
      <c r="V12" s="2">
        <f>IF(SUM('PV (Kế hoạch)'!$D12:V12)=0,"",ROUND(SUM('EV (Hoàn thành thực tế)'!$D12:V12)/SUM('PV (Kế hoạch)'!$D12:V12),2))</f>
        <v>1</v>
      </c>
      <c r="W12" s="2">
        <f>IF(SUM('PV (Kế hoạch)'!$D12:W12)=0,"",ROUND(SUM('EV (Hoàn thành thực tế)'!$D12:W12)/SUM('PV (Kế hoạch)'!$D12:W12),2))</f>
        <v>1</v>
      </c>
      <c r="X12" s="2">
        <f>IF(SUM('PV (Kế hoạch)'!$D12:X12)=0,"",ROUND(SUM('EV (Hoàn thành thực tế)'!$D12:X12)/SUM('PV (Kế hoạch)'!$D12:X12),2))</f>
        <v>1</v>
      </c>
      <c r="Y12" s="2">
        <f>IF(SUM('PV (Kế hoạch)'!$D12:Y12)=0,"",ROUND(SUM('EV (Hoàn thành thực tế)'!$D12:Y12)/SUM('PV (Kế hoạch)'!$D12:Y12),2))</f>
        <v>1</v>
      </c>
      <c r="Z12" s="2">
        <f>IF(SUM('PV (Kế hoạch)'!$D12:Z12)=0,"",ROUND(SUM('EV (Hoàn thành thực tế)'!$D12:Z12)/SUM('PV (Kế hoạch)'!$D12:Z12),2))</f>
        <v>1</v>
      </c>
      <c r="AA12" s="2">
        <f>IF(SUM('PV (Kế hoạch)'!$D12:AA12)=0,"",ROUND(SUM('EV (Hoàn thành thực tế)'!$D12:AA12)/SUM('PV (Kế hoạch)'!$D12:AA12),2))</f>
        <v>1</v>
      </c>
    </row>
    <row r="13" spans="2:27" ht="21.95" customHeight="1">
      <c r="B13" s="2">
        <f>IF('PV (Kế hoạch)'!B13="","",'PV (Kế hoạch)'!B13)</f>
        <v>11</v>
      </c>
      <c r="C13" s="3" t="str">
        <f>IF('PV (Kế hoạch)'!C13="","",'PV (Kế hoạch)'!C13)</f>
        <v>Phát triển Frontend - Module Order</v>
      </c>
      <c r="D13" s="2" t="str">
        <f>IF(SUM('PV (Kế hoạch)'!$D13:D13)=0,"",ROUND(SUM('EV (Hoàn thành thực tế)'!$D13:D13)/SUM('PV (Kế hoạch)'!$D13:D13),2))</f>
        <v/>
      </c>
      <c r="E13" s="2" t="str">
        <f>IF(SUM('PV (Kế hoạch)'!$D13:E13)=0,"",ROUND(SUM('EV (Hoàn thành thực tế)'!$D13:E13)/SUM('PV (Kế hoạch)'!$D13:E13),2))</f>
        <v/>
      </c>
      <c r="F13" s="2" t="str">
        <f>IF(SUM('PV (Kế hoạch)'!$D13:F13)=0,"",ROUND(SUM('EV (Hoàn thành thực tế)'!$D13:F13)/SUM('PV (Kế hoạch)'!$D13:F13),2))</f>
        <v/>
      </c>
      <c r="G13" s="2" t="str">
        <f>IF(SUM('PV (Kế hoạch)'!$D13:G13)=0,"",ROUND(SUM('EV (Hoàn thành thực tế)'!$D13:G13)/SUM('PV (Kế hoạch)'!$D13:G13),2))</f>
        <v/>
      </c>
      <c r="H13" s="2" t="str">
        <f>IF(SUM('PV (Kế hoạch)'!$D13:H13)=0,"",ROUND(SUM('EV (Hoàn thành thực tế)'!$D13:H13)/SUM('PV (Kế hoạch)'!$D13:H13),2))</f>
        <v/>
      </c>
      <c r="I13" s="2" t="str">
        <f>IF(SUM('PV (Kế hoạch)'!$D13:I13)=0,"",ROUND(SUM('EV (Hoàn thành thực tế)'!$D13:I13)/SUM('PV (Kế hoạch)'!$D13:I13),2))</f>
        <v/>
      </c>
      <c r="J13" s="2" t="str">
        <f>IF(SUM('PV (Kế hoạch)'!$D13:J13)=0,"",ROUND(SUM('EV (Hoàn thành thực tế)'!$D13:J13)/SUM('PV (Kế hoạch)'!$D13:J13),2))</f>
        <v/>
      </c>
      <c r="K13" s="2" t="str">
        <f>IF(SUM('PV (Kế hoạch)'!$D13:K13)=0,"",ROUND(SUM('EV (Hoàn thành thực tế)'!$D13:K13)/SUM('PV (Kế hoạch)'!$D13:K13),2))</f>
        <v/>
      </c>
      <c r="L13" s="2" t="str">
        <f>IF(SUM('PV (Kế hoạch)'!$D13:L13)=0,"",ROUND(SUM('EV (Hoàn thành thực tế)'!$D13:L13)/SUM('PV (Kế hoạch)'!$D13:L13),2))</f>
        <v/>
      </c>
      <c r="M13" s="2" t="str">
        <f>IF(SUM('PV (Kế hoạch)'!$D13:M13)=0,"",ROUND(SUM('EV (Hoàn thành thực tế)'!$D13:M13)/SUM('PV (Kế hoạch)'!$D13:M13),2))</f>
        <v/>
      </c>
      <c r="N13" s="2">
        <f>IF(SUM('PV (Kế hoạch)'!$D13:N13)=0,"",ROUND(SUM('EV (Hoàn thành thực tế)'!$D13:N13)/SUM('PV (Kế hoạch)'!$D13:N13),2))</f>
        <v>0.98</v>
      </c>
      <c r="O13" s="2">
        <f>IF(SUM('PV (Kế hoạch)'!$D13:O13)=0,"",ROUND(SUM('EV (Hoàn thành thực tế)'!$D13:O13)/SUM('PV (Kế hoạch)'!$D13:O13),2))</f>
        <v>1.01</v>
      </c>
      <c r="P13" s="2">
        <f>IF(SUM('PV (Kế hoạch)'!$D13:P13)=0,"",ROUND(SUM('EV (Hoàn thành thực tế)'!$D13:P13)/SUM('PV (Kế hoạch)'!$D13:P13),2))</f>
        <v>1</v>
      </c>
      <c r="Q13" s="2">
        <f>IF(SUM('PV (Kế hoạch)'!$D13:Q13)=0,"",ROUND(SUM('EV (Hoàn thành thực tế)'!$D13:Q13)/SUM('PV (Kế hoạch)'!$D13:Q13),2))</f>
        <v>1</v>
      </c>
      <c r="R13" s="2">
        <f>IF(SUM('PV (Kế hoạch)'!$D13:R13)=0,"",ROUND(SUM('EV (Hoàn thành thực tế)'!$D13:R13)/SUM('PV (Kế hoạch)'!$D13:R13),2))</f>
        <v>1</v>
      </c>
      <c r="S13" s="2">
        <f>IF(SUM('PV (Kế hoạch)'!$D13:S13)=0,"",ROUND(SUM('EV (Hoàn thành thực tế)'!$D13:S13)/SUM('PV (Kế hoạch)'!$D13:S13),2))</f>
        <v>1</v>
      </c>
      <c r="T13" s="2">
        <f>IF(SUM('PV (Kế hoạch)'!$D13:T13)=0,"",ROUND(SUM('EV (Hoàn thành thực tế)'!$D13:T13)/SUM('PV (Kế hoạch)'!$D13:T13),2))</f>
        <v>1</v>
      </c>
      <c r="U13" s="2">
        <f>IF(SUM('PV (Kế hoạch)'!$D13:U13)=0,"",ROUND(SUM('EV (Hoàn thành thực tế)'!$D13:U13)/SUM('PV (Kế hoạch)'!$D13:U13),2))</f>
        <v>1</v>
      </c>
      <c r="V13" s="2">
        <f>IF(SUM('PV (Kế hoạch)'!$D13:V13)=0,"",ROUND(SUM('EV (Hoàn thành thực tế)'!$D13:V13)/SUM('PV (Kế hoạch)'!$D13:V13),2))</f>
        <v>1</v>
      </c>
      <c r="W13" s="2">
        <f>IF(SUM('PV (Kế hoạch)'!$D13:W13)=0,"",ROUND(SUM('EV (Hoàn thành thực tế)'!$D13:W13)/SUM('PV (Kế hoạch)'!$D13:W13),2))</f>
        <v>1</v>
      </c>
      <c r="X13" s="2">
        <f>IF(SUM('PV (Kế hoạch)'!$D13:X13)=0,"",ROUND(SUM('EV (Hoàn thành thực tế)'!$D13:X13)/SUM('PV (Kế hoạch)'!$D13:X13),2))</f>
        <v>1</v>
      </c>
      <c r="Y13" s="2">
        <f>IF(SUM('PV (Kế hoạch)'!$D13:Y13)=0,"",ROUND(SUM('EV (Hoàn thành thực tế)'!$D13:Y13)/SUM('PV (Kế hoạch)'!$D13:Y13),2))</f>
        <v>1</v>
      </c>
      <c r="Z13" s="2">
        <f>IF(SUM('PV (Kế hoạch)'!$D13:Z13)=0,"",ROUND(SUM('EV (Hoàn thành thực tế)'!$D13:Z13)/SUM('PV (Kế hoạch)'!$D13:Z13),2))</f>
        <v>1</v>
      </c>
      <c r="AA13" s="2">
        <f>IF(SUM('PV (Kế hoạch)'!$D13:AA13)=0,"",ROUND(SUM('EV (Hoàn thành thực tế)'!$D13:AA13)/SUM('PV (Kế hoạch)'!$D13:AA13),2))</f>
        <v>1</v>
      </c>
    </row>
    <row r="14" spans="2:27" ht="21.95" customHeight="1">
      <c r="B14" s="2">
        <f>IF('PV (Kế hoạch)'!B14="","",'PV (Kế hoạch)'!B14)</f>
        <v>12</v>
      </c>
      <c r="C14" s="3" t="str">
        <f>IF('PV (Kế hoạch)'!C14="","",'PV (Kế hoạch)'!C14)</f>
        <v>Phát triển Frontend - Module Payment</v>
      </c>
      <c r="D14" s="2" t="str">
        <f>IF(SUM('PV (Kế hoạch)'!$D14:D14)=0,"",ROUND(SUM('EV (Hoàn thành thực tế)'!$D14:D14)/SUM('PV (Kế hoạch)'!$D14:D14),2))</f>
        <v/>
      </c>
      <c r="E14" s="2" t="str">
        <f>IF(SUM('PV (Kế hoạch)'!$D14:E14)=0,"",ROUND(SUM('EV (Hoàn thành thực tế)'!$D14:E14)/SUM('PV (Kế hoạch)'!$D14:E14),2))</f>
        <v/>
      </c>
      <c r="F14" s="2" t="str">
        <f>IF(SUM('PV (Kế hoạch)'!$D14:F14)=0,"",ROUND(SUM('EV (Hoàn thành thực tế)'!$D14:F14)/SUM('PV (Kế hoạch)'!$D14:F14),2))</f>
        <v/>
      </c>
      <c r="G14" s="2" t="str">
        <f>IF(SUM('PV (Kế hoạch)'!$D14:G14)=0,"",ROUND(SUM('EV (Hoàn thành thực tế)'!$D14:G14)/SUM('PV (Kế hoạch)'!$D14:G14),2))</f>
        <v/>
      </c>
      <c r="H14" s="2" t="str">
        <f>IF(SUM('PV (Kế hoạch)'!$D14:H14)=0,"",ROUND(SUM('EV (Hoàn thành thực tế)'!$D14:H14)/SUM('PV (Kế hoạch)'!$D14:H14),2))</f>
        <v/>
      </c>
      <c r="I14" s="2" t="str">
        <f>IF(SUM('PV (Kế hoạch)'!$D14:I14)=0,"",ROUND(SUM('EV (Hoàn thành thực tế)'!$D14:I14)/SUM('PV (Kế hoạch)'!$D14:I14),2))</f>
        <v/>
      </c>
      <c r="J14" s="2" t="str">
        <f>IF(SUM('PV (Kế hoạch)'!$D14:J14)=0,"",ROUND(SUM('EV (Hoàn thành thực tế)'!$D14:J14)/SUM('PV (Kế hoạch)'!$D14:J14),2))</f>
        <v/>
      </c>
      <c r="K14" s="2" t="str">
        <f>IF(SUM('PV (Kế hoạch)'!$D14:K14)=0,"",ROUND(SUM('EV (Hoàn thành thực tế)'!$D14:K14)/SUM('PV (Kế hoạch)'!$D14:K14),2))</f>
        <v/>
      </c>
      <c r="L14" s="2" t="str">
        <f>IF(SUM('PV (Kế hoạch)'!$D14:L14)=0,"",ROUND(SUM('EV (Hoàn thành thực tế)'!$D14:L14)/SUM('PV (Kế hoạch)'!$D14:L14),2))</f>
        <v/>
      </c>
      <c r="M14" s="2" t="str">
        <f>IF(SUM('PV (Kế hoạch)'!$D14:M14)=0,"",ROUND(SUM('EV (Hoàn thành thực tế)'!$D14:M14)/SUM('PV (Kế hoạch)'!$D14:M14),2))</f>
        <v/>
      </c>
      <c r="N14" s="2" t="str">
        <f>IF(SUM('PV (Kế hoạch)'!$D14:N14)=0,"",ROUND(SUM('EV (Hoàn thành thực tế)'!$D14:N14)/SUM('PV (Kế hoạch)'!$D14:N14),2))</f>
        <v/>
      </c>
      <c r="O14" s="2" t="str">
        <f>IF(SUM('PV (Kế hoạch)'!$D14:O14)=0,"",ROUND(SUM('EV (Hoàn thành thực tế)'!$D14:O14)/SUM('PV (Kế hoạch)'!$D14:O14),2))</f>
        <v/>
      </c>
      <c r="P14" s="2">
        <f>IF(SUM('PV (Kế hoạch)'!$D14:P14)=0,"",ROUND(SUM('EV (Hoàn thành thực tế)'!$D14:P14)/SUM('PV (Kế hoạch)'!$D14:P14),2))</f>
        <v>1.02</v>
      </c>
      <c r="Q14" s="2">
        <f>IF(SUM('PV (Kế hoạch)'!$D14:Q14)=0,"",ROUND(SUM('EV (Hoàn thành thực tế)'!$D14:Q14)/SUM('PV (Kế hoạch)'!$D14:Q14),2))</f>
        <v>0.99</v>
      </c>
      <c r="R14" s="2">
        <f>IF(SUM('PV (Kế hoạch)'!$D14:R14)=0,"",ROUND(SUM('EV (Hoàn thành thực tế)'!$D14:R14)/SUM('PV (Kế hoạch)'!$D14:R14),2))</f>
        <v>1</v>
      </c>
      <c r="S14" s="2">
        <f>IF(SUM('PV (Kế hoạch)'!$D14:S14)=0,"",ROUND(SUM('EV (Hoàn thành thực tế)'!$D14:S14)/SUM('PV (Kế hoạch)'!$D14:S14),2))</f>
        <v>1</v>
      </c>
      <c r="T14" s="2">
        <f>IF(SUM('PV (Kế hoạch)'!$D14:T14)=0,"",ROUND(SUM('EV (Hoàn thành thực tế)'!$D14:T14)/SUM('PV (Kế hoạch)'!$D14:T14),2))</f>
        <v>1</v>
      </c>
      <c r="U14" s="2">
        <f>IF(SUM('PV (Kế hoạch)'!$D14:U14)=0,"",ROUND(SUM('EV (Hoàn thành thực tế)'!$D14:U14)/SUM('PV (Kế hoạch)'!$D14:U14),2))</f>
        <v>1</v>
      </c>
      <c r="V14" s="2">
        <f>IF(SUM('PV (Kế hoạch)'!$D14:V14)=0,"",ROUND(SUM('EV (Hoàn thành thực tế)'!$D14:V14)/SUM('PV (Kế hoạch)'!$D14:V14),2))</f>
        <v>1</v>
      </c>
      <c r="W14" s="2">
        <f>IF(SUM('PV (Kế hoạch)'!$D14:W14)=0,"",ROUND(SUM('EV (Hoàn thành thực tế)'!$D14:W14)/SUM('PV (Kế hoạch)'!$D14:W14),2))</f>
        <v>1</v>
      </c>
      <c r="X14" s="2">
        <f>IF(SUM('PV (Kế hoạch)'!$D14:X14)=0,"",ROUND(SUM('EV (Hoàn thành thực tế)'!$D14:X14)/SUM('PV (Kế hoạch)'!$D14:X14),2))</f>
        <v>1</v>
      </c>
      <c r="Y14" s="2">
        <f>IF(SUM('PV (Kế hoạch)'!$D14:Y14)=0,"",ROUND(SUM('EV (Hoàn thành thực tế)'!$D14:Y14)/SUM('PV (Kế hoạch)'!$D14:Y14),2))</f>
        <v>1</v>
      </c>
      <c r="Z14" s="2">
        <f>IF(SUM('PV (Kế hoạch)'!$D14:Z14)=0,"",ROUND(SUM('EV (Hoàn thành thực tế)'!$D14:Z14)/SUM('PV (Kế hoạch)'!$D14:Z14),2))</f>
        <v>1</v>
      </c>
      <c r="AA14" s="2">
        <f>IF(SUM('PV (Kế hoạch)'!$D14:AA14)=0,"",ROUND(SUM('EV (Hoàn thành thực tế)'!$D14:AA14)/SUM('PV (Kế hoạch)'!$D14:AA14),2))</f>
        <v>1</v>
      </c>
    </row>
    <row r="15" spans="2:27" ht="21.95" customHeight="1">
      <c r="B15" s="2">
        <f>IF('PV (Kế hoạch)'!B15="","",'PV (Kế hoạch)'!B15)</f>
        <v>13</v>
      </c>
      <c r="C15" s="3" t="str">
        <f>IF('PV (Kế hoạch)'!C15="","",'PV (Kế hoạch)'!C15)</f>
        <v>Phát triển Frontend - Module Report</v>
      </c>
      <c r="D15" s="2" t="str">
        <f>IF(SUM('PV (Kế hoạch)'!$D15:D15)=0,"",ROUND(SUM('EV (Hoàn thành thực tế)'!$D15:D15)/SUM('PV (Kế hoạch)'!$D15:D15),2))</f>
        <v/>
      </c>
      <c r="E15" s="2" t="str">
        <f>IF(SUM('PV (Kế hoạch)'!$D15:E15)=0,"",ROUND(SUM('EV (Hoàn thành thực tế)'!$D15:E15)/SUM('PV (Kế hoạch)'!$D15:E15),2))</f>
        <v/>
      </c>
      <c r="F15" s="2" t="str">
        <f>IF(SUM('PV (Kế hoạch)'!$D15:F15)=0,"",ROUND(SUM('EV (Hoàn thành thực tế)'!$D15:F15)/SUM('PV (Kế hoạch)'!$D15:F15),2))</f>
        <v/>
      </c>
      <c r="G15" s="2" t="str">
        <f>IF(SUM('PV (Kế hoạch)'!$D15:G15)=0,"",ROUND(SUM('EV (Hoàn thành thực tế)'!$D15:G15)/SUM('PV (Kế hoạch)'!$D15:G15),2))</f>
        <v/>
      </c>
      <c r="H15" s="2" t="str">
        <f>IF(SUM('PV (Kế hoạch)'!$D15:H15)=0,"",ROUND(SUM('EV (Hoàn thành thực tế)'!$D15:H15)/SUM('PV (Kế hoạch)'!$D15:H15),2))</f>
        <v/>
      </c>
      <c r="I15" s="2" t="str">
        <f>IF(SUM('PV (Kế hoạch)'!$D15:I15)=0,"",ROUND(SUM('EV (Hoàn thành thực tế)'!$D15:I15)/SUM('PV (Kế hoạch)'!$D15:I15),2))</f>
        <v/>
      </c>
      <c r="J15" s="2" t="str">
        <f>IF(SUM('PV (Kế hoạch)'!$D15:J15)=0,"",ROUND(SUM('EV (Hoàn thành thực tế)'!$D15:J15)/SUM('PV (Kế hoạch)'!$D15:J15),2))</f>
        <v/>
      </c>
      <c r="K15" s="2" t="str">
        <f>IF(SUM('PV (Kế hoạch)'!$D15:K15)=0,"",ROUND(SUM('EV (Hoàn thành thực tế)'!$D15:K15)/SUM('PV (Kế hoạch)'!$D15:K15),2))</f>
        <v/>
      </c>
      <c r="L15" s="2" t="str">
        <f>IF(SUM('PV (Kế hoạch)'!$D15:L15)=0,"",ROUND(SUM('EV (Hoàn thành thực tế)'!$D15:L15)/SUM('PV (Kế hoạch)'!$D15:L15),2))</f>
        <v/>
      </c>
      <c r="M15" s="2" t="str">
        <f>IF(SUM('PV (Kế hoạch)'!$D15:M15)=0,"",ROUND(SUM('EV (Hoàn thành thực tế)'!$D15:M15)/SUM('PV (Kế hoạch)'!$D15:M15),2))</f>
        <v/>
      </c>
      <c r="N15" s="2" t="str">
        <f>IF(SUM('PV (Kế hoạch)'!$D15:N15)=0,"",ROUND(SUM('EV (Hoàn thành thực tế)'!$D15:N15)/SUM('PV (Kế hoạch)'!$D15:N15),2))</f>
        <v/>
      </c>
      <c r="O15" s="2" t="str">
        <f>IF(SUM('PV (Kế hoạch)'!$D15:O15)=0,"",ROUND(SUM('EV (Hoàn thành thực tế)'!$D15:O15)/SUM('PV (Kế hoạch)'!$D15:O15),2))</f>
        <v/>
      </c>
      <c r="P15" s="2" t="str">
        <f>IF(SUM('PV (Kế hoạch)'!$D15:P15)=0,"",ROUND(SUM('EV (Hoàn thành thực tế)'!$D15:P15)/SUM('PV (Kế hoạch)'!$D15:P15),2))</f>
        <v/>
      </c>
      <c r="Q15" s="2" t="str">
        <f>IF(SUM('PV (Kế hoạch)'!$D15:Q15)=0,"",ROUND(SUM('EV (Hoàn thành thực tế)'!$D15:Q15)/SUM('PV (Kế hoạch)'!$D15:Q15),2))</f>
        <v/>
      </c>
      <c r="R15" s="2">
        <f>IF(SUM('PV (Kế hoạch)'!$D15:R15)=0,"",ROUND(SUM('EV (Hoàn thành thực tế)'!$D15:R15)/SUM('PV (Kế hoạch)'!$D15:R15),2))</f>
        <v>1</v>
      </c>
      <c r="S15" s="2">
        <f>IF(SUM('PV (Kế hoạch)'!$D15:S15)=0,"",ROUND(SUM('EV (Hoàn thành thực tế)'!$D15:S15)/SUM('PV (Kế hoạch)'!$D15:S15),2))</f>
        <v>1</v>
      </c>
      <c r="T15" s="2">
        <f>IF(SUM('PV (Kế hoạch)'!$D15:T15)=0,"",ROUND(SUM('EV (Hoàn thành thực tế)'!$D15:T15)/SUM('PV (Kế hoạch)'!$D15:T15),2))</f>
        <v>1</v>
      </c>
      <c r="U15" s="2">
        <f>IF(SUM('PV (Kế hoạch)'!$D15:U15)=0,"",ROUND(SUM('EV (Hoàn thành thực tế)'!$D15:U15)/SUM('PV (Kế hoạch)'!$D15:U15),2))</f>
        <v>1</v>
      </c>
      <c r="V15" s="2">
        <f>IF(SUM('PV (Kế hoạch)'!$D15:V15)=0,"",ROUND(SUM('EV (Hoàn thành thực tế)'!$D15:V15)/SUM('PV (Kế hoạch)'!$D15:V15),2))</f>
        <v>1</v>
      </c>
      <c r="W15" s="2">
        <f>IF(SUM('PV (Kế hoạch)'!$D15:W15)=0,"",ROUND(SUM('EV (Hoàn thành thực tế)'!$D15:W15)/SUM('PV (Kế hoạch)'!$D15:W15),2))</f>
        <v>1</v>
      </c>
      <c r="X15" s="2">
        <f>IF(SUM('PV (Kế hoạch)'!$D15:X15)=0,"",ROUND(SUM('EV (Hoàn thành thực tế)'!$D15:X15)/SUM('PV (Kế hoạch)'!$D15:X15),2))</f>
        <v>1</v>
      </c>
      <c r="Y15" s="2">
        <f>IF(SUM('PV (Kế hoạch)'!$D15:Y15)=0,"",ROUND(SUM('EV (Hoàn thành thực tế)'!$D15:Y15)/SUM('PV (Kế hoạch)'!$D15:Y15),2))</f>
        <v>1</v>
      </c>
      <c r="Z15" s="2">
        <f>IF(SUM('PV (Kế hoạch)'!$D15:Z15)=0,"",ROUND(SUM('EV (Hoàn thành thực tế)'!$D15:Z15)/SUM('PV (Kế hoạch)'!$D15:Z15),2))</f>
        <v>1</v>
      </c>
      <c r="AA15" s="2">
        <f>IF(SUM('PV (Kế hoạch)'!$D15:AA15)=0,"",ROUND(SUM('EV (Hoàn thành thực tế)'!$D15:AA15)/SUM('PV (Kế hoạch)'!$D15:AA15),2))</f>
        <v>1</v>
      </c>
    </row>
    <row r="16" spans="2:27" ht="21.95" customHeight="1">
      <c r="B16" s="2">
        <f>IF('PV (Kế hoạch)'!B16="","",'PV (Kế hoạch)'!B16)</f>
        <v>14</v>
      </c>
      <c r="C16" s="3" t="str">
        <f>IF('PV (Kế hoạch)'!C16="","",'PV (Kế hoạch)'!C16)</f>
        <v>Tích hợp API bên thứ 3</v>
      </c>
      <c r="D16" s="2" t="str">
        <f>IF(SUM('PV (Kế hoạch)'!$D16:D16)=0,"",ROUND(SUM('EV (Hoàn thành thực tế)'!$D16:D16)/SUM('PV (Kế hoạch)'!$D16:D16),2))</f>
        <v/>
      </c>
      <c r="E16" s="2" t="str">
        <f>IF(SUM('PV (Kế hoạch)'!$D16:E16)=0,"",ROUND(SUM('EV (Hoàn thành thực tế)'!$D16:E16)/SUM('PV (Kế hoạch)'!$D16:E16),2))</f>
        <v/>
      </c>
      <c r="F16" s="2" t="str">
        <f>IF(SUM('PV (Kế hoạch)'!$D16:F16)=0,"",ROUND(SUM('EV (Hoàn thành thực tế)'!$D16:F16)/SUM('PV (Kế hoạch)'!$D16:F16),2))</f>
        <v/>
      </c>
      <c r="G16" s="2" t="str">
        <f>IF(SUM('PV (Kế hoạch)'!$D16:G16)=0,"",ROUND(SUM('EV (Hoàn thành thực tế)'!$D16:G16)/SUM('PV (Kế hoạch)'!$D16:G16),2))</f>
        <v/>
      </c>
      <c r="H16" s="2" t="str">
        <f>IF(SUM('PV (Kế hoạch)'!$D16:H16)=0,"",ROUND(SUM('EV (Hoàn thành thực tế)'!$D16:H16)/SUM('PV (Kế hoạch)'!$D16:H16),2))</f>
        <v/>
      </c>
      <c r="I16" s="2" t="str">
        <f>IF(SUM('PV (Kế hoạch)'!$D16:I16)=0,"",ROUND(SUM('EV (Hoàn thành thực tế)'!$D16:I16)/SUM('PV (Kế hoạch)'!$D16:I16),2))</f>
        <v/>
      </c>
      <c r="J16" s="2" t="str">
        <f>IF(SUM('PV (Kế hoạch)'!$D16:J16)=0,"",ROUND(SUM('EV (Hoàn thành thực tế)'!$D16:J16)/SUM('PV (Kế hoạch)'!$D16:J16),2))</f>
        <v/>
      </c>
      <c r="K16" s="2" t="str">
        <f>IF(SUM('PV (Kế hoạch)'!$D16:K16)=0,"",ROUND(SUM('EV (Hoàn thành thực tế)'!$D16:K16)/SUM('PV (Kế hoạch)'!$D16:K16),2))</f>
        <v/>
      </c>
      <c r="L16" s="2" t="str">
        <f>IF(SUM('PV (Kế hoạch)'!$D16:L16)=0,"",ROUND(SUM('EV (Hoàn thành thực tế)'!$D16:L16)/SUM('PV (Kế hoạch)'!$D16:L16),2))</f>
        <v/>
      </c>
      <c r="M16" s="2" t="str">
        <f>IF(SUM('PV (Kế hoạch)'!$D16:M16)=0,"",ROUND(SUM('EV (Hoàn thành thực tế)'!$D16:M16)/SUM('PV (Kế hoạch)'!$D16:M16),2))</f>
        <v/>
      </c>
      <c r="N16" s="2" t="str">
        <f>IF(SUM('PV (Kế hoạch)'!$D16:N16)=0,"",ROUND(SUM('EV (Hoàn thành thực tế)'!$D16:N16)/SUM('PV (Kế hoạch)'!$D16:N16),2))</f>
        <v/>
      </c>
      <c r="O16" s="2" t="str">
        <f>IF(SUM('PV (Kế hoạch)'!$D16:O16)=0,"",ROUND(SUM('EV (Hoàn thành thực tế)'!$D16:O16)/SUM('PV (Kế hoạch)'!$D16:O16),2))</f>
        <v/>
      </c>
      <c r="P16" s="2" t="str">
        <f>IF(SUM('PV (Kế hoạch)'!$D16:P16)=0,"",ROUND(SUM('EV (Hoàn thành thực tế)'!$D16:P16)/SUM('PV (Kế hoạch)'!$D16:P16),2))</f>
        <v/>
      </c>
      <c r="Q16" s="2">
        <f>IF(SUM('PV (Kế hoạch)'!$D16:Q16)=0,"",ROUND(SUM('EV (Hoàn thành thực tế)'!$D16:Q16)/SUM('PV (Kế hoạch)'!$D16:Q16),2))</f>
        <v>1</v>
      </c>
      <c r="R16" s="2">
        <f>IF(SUM('PV (Kế hoạch)'!$D16:R16)=0,"",ROUND(SUM('EV (Hoàn thành thực tế)'!$D16:R16)/SUM('PV (Kế hoạch)'!$D16:R16),2))</f>
        <v>1.01</v>
      </c>
      <c r="S16" s="2">
        <f>IF(SUM('PV (Kế hoạch)'!$D16:S16)=0,"",ROUND(SUM('EV (Hoàn thành thực tế)'!$D16:S16)/SUM('PV (Kế hoạch)'!$D16:S16),2))</f>
        <v>1</v>
      </c>
      <c r="T16" s="2">
        <f>IF(SUM('PV (Kế hoạch)'!$D16:T16)=0,"",ROUND(SUM('EV (Hoàn thành thực tế)'!$D16:T16)/SUM('PV (Kế hoạch)'!$D16:T16),2))</f>
        <v>1</v>
      </c>
      <c r="U16" s="2">
        <f>IF(SUM('PV (Kế hoạch)'!$D16:U16)=0,"",ROUND(SUM('EV (Hoàn thành thực tế)'!$D16:U16)/SUM('PV (Kế hoạch)'!$D16:U16),2))</f>
        <v>1</v>
      </c>
      <c r="V16" s="2">
        <f>IF(SUM('PV (Kế hoạch)'!$D16:V16)=0,"",ROUND(SUM('EV (Hoàn thành thực tế)'!$D16:V16)/SUM('PV (Kế hoạch)'!$D16:V16),2))</f>
        <v>1</v>
      </c>
      <c r="W16" s="2">
        <f>IF(SUM('PV (Kế hoạch)'!$D16:W16)=0,"",ROUND(SUM('EV (Hoàn thành thực tế)'!$D16:W16)/SUM('PV (Kế hoạch)'!$D16:W16),2))</f>
        <v>1</v>
      </c>
      <c r="X16" s="2">
        <f>IF(SUM('PV (Kế hoạch)'!$D16:X16)=0,"",ROUND(SUM('EV (Hoàn thành thực tế)'!$D16:X16)/SUM('PV (Kế hoạch)'!$D16:X16),2))</f>
        <v>1</v>
      </c>
      <c r="Y16" s="2">
        <f>IF(SUM('PV (Kế hoạch)'!$D16:Y16)=0,"",ROUND(SUM('EV (Hoàn thành thực tế)'!$D16:Y16)/SUM('PV (Kế hoạch)'!$D16:Y16),2))</f>
        <v>1</v>
      </c>
      <c r="Z16" s="2">
        <f>IF(SUM('PV (Kế hoạch)'!$D16:Z16)=0,"",ROUND(SUM('EV (Hoàn thành thực tế)'!$D16:Z16)/SUM('PV (Kế hoạch)'!$D16:Z16),2))</f>
        <v>1</v>
      </c>
      <c r="AA16" s="2">
        <f>IF(SUM('PV (Kế hoạch)'!$D16:AA16)=0,"",ROUND(SUM('EV (Hoàn thành thực tế)'!$D16:AA16)/SUM('PV (Kế hoạch)'!$D16:AA16),2))</f>
        <v>1</v>
      </c>
    </row>
    <row r="17" spans="1:27" ht="21.95" customHeight="1">
      <c r="B17" s="2">
        <f>IF('PV (Kế hoạch)'!B17="","",'PV (Kế hoạch)'!B17)</f>
        <v>15</v>
      </c>
      <c r="C17" s="3" t="str">
        <f>IF('PV (Kế hoạch)'!C17="","",'PV (Kế hoạch)'!C17)</f>
        <v>Unit Testing</v>
      </c>
      <c r="D17" s="2" t="str">
        <f>IF(SUM('PV (Kế hoạch)'!$D17:D17)=0,"",ROUND(SUM('EV (Hoàn thành thực tế)'!$D17:D17)/SUM('PV (Kế hoạch)'!$D17:D17),2))</f>
        <v/>
      </c>
      <c r="E17" s="2" t="str">
        <f>IF(SUM('PV (Kế hoạch)'!$D17:E17)=0,"",ROUND(SUM('EV (Hoàn thành thực tế)'!$D17:E17)/SUM('PV (Kế hoạch)'!$D17:E17),2))</f>
        <v/>
      </c>
      <c r="F17" s="2" t="str">
        <f>IF(SUM('PV (Kế hoạch)'!$D17:F17)=0,"",ROUND(SUM('EV (Hoàn thành thực tế)'!$D17:F17)/SUM('PV (Kế hoạch)'!$D17:F17),2))</f>
        <v/>
      </c>
      <c r="G17" s="2" t="str">
        <f>IF(SUM('PV (Kế hoạch)'!$D17:G17)=0,"",ROUND(SUM('EV (Hoàn thành thực tế)'!$D17:G17)/SUM('PV (Kế hoạch)'!$D17:G17),2))</f>
        <v/>
      </c>
      <c r="H17" s="2" t="str">
        <f>IF(SUM('PV (Kế hoạch)'!$D17:H17)=0,"",ROUND(SUM('EV (Hoàn thành thực tế)'!$D17:H17)/SUM('PV (Kế hoạch)'!$D17:H17),2))</f>
        <v/>
      </c>
      <c r="I17" s="2" t="str">
        <f>IF(SUM('PV (Kế hoạch)'!$D17:I17)=0,"",ROUND(SUM('EV (Hoàn thành thực tế)'!$D17:I17)/SUM('PV (Kế hoạch)'!$D17:I17),2))</f>
        <v/>
      </c>
      <c r="J17" s="2" t="str">
        <f>IF(SUM('PV (Kế hoạch)'!$D17:J17)=0,"",ROUND(SUM('EV (Hoàn thành thực tế)'!$D17:J17)/SUM('PV (Kế hoạch)'!$D17:J17),2))</f>
        <v/>
      </c>
      <c r="K17" s="2" t="str">
        <f>IF(SUM('PV (Kế hoạch)'!$D17:K17)=0,"",ROUND(SUM('EV (Hoàn thành thực tế)'!$D17:K17)/SUM('PV (Kế hoạch)'!$D17:K17),2))</f>
        <v/>
      </c>
      <c r="L17" s="2" t="str">
        <f>IF(SUM('PV (Kế hoạch)'!$D17:L17)=0,"",ROUND(SUM('EV (Hoàn thành thực tế)'!$D17:L17)/SUM('PV (Kế hoạch)'!$D17:L17),2))</f>
        <v/>
      </c>
      <c r="M17" s="2">
        <f>IF(SUM('PV (Kế hoạch)'!$D17:M17)=0,"",ROUND(SUM('EV (Hoàn thành thực tế)'!$D17:M17)/SUM('PV (Kế hoạch)'!$D17:M17),2))</f>
        <v>0.96</v>
      </c>
      <c r="N17" s="2">
        <f>IF(SUM('PV (Kế hoạch)'!$D17:N17)=0,"",ROUND(SUM('EV (Hoàn thành thực tế)'!$D17:N17)/SUM('PV (Kế hoạch)'!$D17:N17),2))</f>
        <v>1.02</v>
      </c>
      <c r="O17" s="2">
        <f>IF(SUM('PV (Kế hoạch)'!$D17:O17)=0,"",ROUND(SUM('EV (Hoàn thành thực tế)'!$D17:O17)/SUM('PV (Kế hoạch)'!$D17:O17),2))</f>
        <v>1</v>
      </c>
      <c r="P17" s="2">
        <f>IF(SUM('PV (Kế hoạch)'!$D17:P17)=0,"",ROUND(SUM('EV (Hoàn thành thực tế)'!$D17:P17)/SUM('PV (Kế hoạch)'!$D17:P17),2))</f>
        <v>0.99</v>
      </c>
      <c r="Q17" s="2">
        <f>IF(SUM('PV (Kế hoạch)'!$D17:Q17)=0,"",ROUND(SUM('EV (Hoàn thành thực tế)'!$D17:Q17)/SUM('PV (Kế hoạch)'!$D17:Q17),2))</f>
        <v>1</v>
      </c>
      <c r="R17" s="2">
        <f>IF(SUM('PV (Kế hoạch)'!$D17:R17)=0,"",ROUND(SUM('EV (Hoàn thành thực tế)'!$D17:R17)/SUM('PV (Kế hoạch)'!$D17:R17),2))</f>
        <v>1.01</v>
      </c>
      <c r="S17" s="2">
        <f>IF(SUM('PV (Kế hoạch)'!$D17:S17)=0,"",ROUND(SUM('EV (Hoàn thành thực tế)'!$D17:S17)/SUM('PV (Kế hoạch)'!$D17:S17),2))</f>
        <v>1</v>
      </c>
      <c r="T17" s="2">
        <f>IF(SUM('PV (Kế hoạch)'!$D17:T17)=0,"",ROUND(SUM('EV (Hoàn thành thực tế)'!$D17:T17)/SUM('PV (Kế hoạch)'!$D17:T17),2))</f>
        <v>1</v>
      </c>
      <c r="U17" s="2">
        <f>IF(SUM('PV (Kế hoạch)'!$D17:U17)=0,"",ROUND(SUM('EV (Hoàn thành thực tế)'!$D17:U17)/SUM('PV (Kế hoạch)'!$D17:U17),2))</f>
        <v>1</v>
      </c>
      <c r="V17" s="2">
        <f>IF(SUM('PV (Kế hoạch)'!$D17:V17)=0,"",ROUND(SUM('EV (Hoàn thành thực tế)'!$D17:V17)/SUM('PV (Kế hoạch)'!$D17:V17),2))</f>
        <v>1</v>
      </c>
      <c r="W17" s="2">
        <f>IF(SUM('PV (Kế hoạch)'!$D17:W17)=0,"",ROUND(SUM('EV (Hoàn thành thực tế)'!$D17:W17)/SUM('PV (Kế hoạch)'!$D17:W17),2))</f>
        <v>1</v>
      </c>
      <c r="X17" s="2">
        <f>IF(SUM('PV (Kế hoạch)'!$D17:X17)=0,"",ROUND(SUM('EV (Hoàn thành thực tế)'!$D17:X17)/SUM('PV (Kế hoạch)'!$D17:X17),2))</f>
        <v>1</v>
      </c>
      <c r="Y17" s="2">
        <f>IF(SUM('PV (Kế hoạch)'!$D17:Y17)=0,"",ROUND(SUM('EV (Hoàn thành thực tế)'!$D17:Y17)/SUM('PV (Kế hoạch)'!$D17:Y17),2))</f>
        <v>1</v>
      </c>
      <c r="Z17" s="2">
        <f>IF(SUM('PV (Kế hoạch)'!$D17:Z17)=0,"",ROUND(SUM('EV (Hoàn thành thực tế)'!$D17:Z17)/SUM('PV (Kế hoạch)'!$D17:Z17),2))</f>
        <v>1</v>
      </c>
      <c r="AA17" s="2">
        <f>IF(SUM('PV (Kế hoạch)'!$D17:AA17)=0,"",ROUND(SUM('EV (Hoàn thành thực tế)'!$D17:AA17)/SUM('PV (Kế hoạch)'!$D17:AA17),2))</f>
        <v>1</v>
      </c>
    </row>
    <row r="18" spans="1:27" ht="21.95" customHeight="1">
      <c r="B18" s="2">
        <f>IF('PV (Kế hoạch)'!B18="","",'PV (Kế hoạch)'!B18)</f>
        <v>16</v>
      </c>
      <c r="C18" s="3" t="str">
        <f>IF('PV (Kế hoạch)'!C18="","",'PV (Kế hoạch)'!C18)</f>
        <v>Integration Testing</v>
      </c>
      <c r="D18" s="2" t="str">
        <f>IF(SUM('PV (Kế hoạch)'!$D18:D18)=0,"",ROUND(SUM('EV (Hoàn thành thực tế)'!$D18:D18)/SUM('PV (Kế hoạch)'!$D18:D18),2))</f>
        <v/>
      </c>
      <c r="E18" s="2" t="str">
        <f>IF(SUM('PV (Kế hoạch)'!$D18:E18)=0,"",ROUND(SUM('EV (Hoàn thành thực tế)'!$D18:E18)/SUM('PV (Kế hoạch)'!$D18:E18),2))</f>
        <v/>
      </c>
      <c r="F18" s="2" t="str">
        <f>IF(SUM('PV (Kế hoạch)'!$D18:F18)=0,"",ROUND(SUM('EV (Hoàn thành thực tế)'!$D18:F18)/SUM('PV (Kế hoạch)'!$D18:F18),2))</f>
        <v/>
      </c>
      <c r="G18" s="2" t="str">
        <f>IF(SUM('PV (Kế hoạch)'!$D18:G18)=0,"",ROUND(SUM('EV (Hoàn thành thực tế)'!$D18:G18)/SUM('PV (Kế hoạch)'!$D18:G18),2))</f>
        <v/>
      </c>
      <c r="H18" s="2" t="str">
        <f>IF(SUM('PV (Kế hoạch)'!$D18:H18)=0,"",ROUND(SUM('EV (Hoàn thành thực tế)'!$D18:H18)/SUM('PV (Kế hoạch)'!$D18:H18),2))</f>
        <v/>
      </c>
      <c r="I18" s="2" t="str">
        <f>IF(SUM('PV (Kế hoạch)'!$D18:I18)=0,"",ROUND(SUM('EV (Hoàn thành thực tế)'!$D18:I18)/SUM('PV (Kế hoạch)'!$D18:I18),2))</f>
        <v/>
      </c>
      <c r="J18" s="2" t="str">
        <f>IF(SUM('PV (Kế hoạch)'!$D18:J18)=0,"",ROUND(SUM('EV (Hoàn thành thực tế)'!$D18:J18)/SUM('PV (Kế hoạch)'!$D18:J18),2))</f>
        <v/>
      </c>
      <c r="K18" s="2" t="str">
        <f>IF(SUM('PV (Kế hoạch)'!$D18:K18)=0,"",ROUND(SUM('EV (Hoàn thành thực tế)'!$D18:K18)/SUM('PV (Kế hoạch)'!$D18:K18),2))</f>
        <v/>
      </c>
      <c r="L18" s="2" t="str">
        <f>IF(SUM('PV (Kế hoạch)'!$D18:L18)=0,"",ROUND(SUM('EV (Hoàn thành thực tế)'!$D18:L18)/SUM('PV (Kế hoạch)'!$D18:L18),2))</f>
        <v/>
      </c>
      <c r="M18" s="2" t="str">
        <f>IF(SUM('PV (Kế hoạch)'!$D18:M18)=0,"",ROUND(SUM('EV (Hoàn thành thực tế)'!$D18:M18)/SUM('PV (Kế hoạch)'!$D18:M18),2))</f>
        <v/>
      </c>
      <c r="N18" s="2" t="str">
        <f>IF(SUM('PV (Kế hoạch)'!$D18:N18)=0,"",ROUND(SUM('EV (Hoàn thành thực tế)'!$D18:N18)/SUM('PV (Kế hoạch)'!$D18:N18),2))</f>
        <v/>
      </c>
      <c r="O18" s="2" t="str">
        <f>IF(SUM('PV (Kế hoạch)'!$D18:O18)=0,"",ROUND(SUM('EV (Hoàn thành thực tế)'!$D18:O18)/SUM('PV (Kế hoạch)'!$D18:O18),2))</f>
        <v/>
      </c>
      <c r="P18" s="2" t="str">
        <f>IF(SUM('PV (Kế hoạch)'!$D18:P18)=0,"",ROUND(SUM('EV (Hoàn thành thực tế)'!$D18:P18)/SUM('PV (Kế hoạch)'!$D18:P18),2))</f>
        <v/>
      </c>
      <c r="Q18" s="2" t="str">
        <f>IF(SUM('PV (Kế hoạch)'!$D18:Q18)=0,"",ROUND(SUM('EV (Hoàn thành thực tế)'!$D18:Q18)/SUM('PV (Kế hoạch)'!$D18:Q18),2))</f>
        <v/>
      </c>
      <c r="R18" s="2" t="str">
        <f>IF(SUM('PV (Kế hoạch)'!$D18:R18)=0,"",ROUND(SUM('EV (Hoàn thành thực tế)'!$D18:R18)/SUM('PV (Kế hoạch)'!$D18:R18),2))</f>
        <v/>
      </c>
      <c r="S18" s="2">
        <f>IF(SUM('PV (Kế hoạch)'!$D18:S18)=0,"",ROUND(SUM('EV (Hoàn thành thực tế)'!$D18:S18)/SUM('PV (Kế hoạch)'!$D18:S18),2))</f>
        <v>1</v>
      </c>
      <c r="T18" s="2">
        <f>IF(SUM('PV (Kế hoạch)'!$D18:T18)=0,"",ROUND(SUM('EV (Hoàn thành thực tế)'!$D18:T18)/SUM('PV (Kế hoạch)'!$D18:T18),2))</f>
        <v>1.01</v>
      </c>
      <c r="U18" s="2">
        <f>IF(SUM('PV (Kế hoạch)'!$D18:U18)=0,"",ROUND(SUM('EV (Hoàn thành thực tế)'!$D18:U18)/SUM('PV (Kế hoạch)'!$D18:U18),2))</f>
        <v>1</v>
      </c>
      <c r="V18" s="2">
        <f>IF(SUM('PV (Kế hoạch)'!$D18:V18)=0,"",ROUND(SUM('EV (Hoàn thành thực tế)'!$D18:V18)/SUM('PV (Kế hoạch)'!$D18:V18),2))</f>
        <v>1</v>
      </c>
      <c r="W18" s="2">
        <f>IF(SUM('PV (Kế hoạch)'!$D18:W18)=0,"",ROUND(SUM('EV (Hoàn thành thực tế)'!$D18:W18)/SUM('PV (Kế hoạch)'!$D18:W18),2))</f>
        <v>1</v>
      </c>
      <c r="X18" s="2">
        <f>IF(SUM('PV (Kế hoạch)'!$D18:X18)=0,"",ROUND(SUM('EV (Hoàn thành thực tế)'!$D18:X18)/SUM('PV (Kế hoạch)'!$D18:X18),2))</f>
        <v>1</v>
      </c>
      <c r="Y18" s="2">
        <f>IF(SUM('PV (Kế hoạch)'!$D18:Y18)=0,"",ROUND(SUM('EV (Hoàn thành thực tế)'!$D18:Y18)/SUM('PV (Kế hoạch)'!$D18:Y18),2))</f>
        <v>1</v>
      </c>
      <c r="Z18" s="2">
        <f>IF(SUM('PV (Kế hoạch)'!$D18:Z18)=0,"",ROUND(SUM('EV (Hoàn thành thực tế)'!$D18:Z18)/SUM('PV (Kế hoạch)'!$D18:Z18),2))</f>
        <v>1</v>
      </c>
      <c r="AA18" s="2">
        <f>IF(SUM('PV (Kế hoạch)'!$D18:AA18)=0,"",ROUND(SUM('EV (Hoàn thành thực tế)'!$D18:AA18)/SUM('PV (Kế hoạch)'!$D18:AA18),2))</f>
        <v>1</v>
      </c>
    </row>
    <row r="19" spans="1:27" ht="21.95" customHeight="1">
      <c r="B19" s="2">
        <f>IF('PV (Kế hoạch)'!B19="","",'PV (Kế hoạch)'!B19)</f>
        <v>17</v>
      </c>
      <c r="C19" s="3" t="str">
        <f>IF('PV (Kế hoạch)'!C19="","",'PV (Kế hoạch)'!C19)</f>
        <v>System Testing</v>
      </c>
      <c r="D19" s="2" t="str">
        <f>IF(SUM('PV (Kế hoạch)'!$D19:D19)=0,"",ROUND(SUM('EV (Hoàn thành thực tế)'!$D19:D19)/SUM('PV (Kế hoạch)'!$D19:D19),2))</f>
        <v/>
      </c>
      <c r="E19" s="2" t="str">
        <f>IF(SUM('PV (Kế hoạch)'!$D19:E19)=0,"",ROUND(SUM('EV (Hoàn thành thực tế)'!$D19:E19)/SUM('PV (Kế hoạch)'!$D19:E19),2))</f>
        <v/>
      </c>
      <c r="F19" s="2" t="str">
        <f>IF(SUM('PV (Kế hoạch)'!$D19:F19)=0,"",ROUND(SUM('EV (Hoàn thành thực tế)'!$D19:F19)/SUM('PV (Kế hoạch)'!$D19:F19),2))</f>
        <v/>
      </c>
      <c r="G19" s="2" t="str">
        <f>IF(SUM('PV (Kế hoạch)'!$D19:G19)=0,"",ROUND(SUM('EV (Hoàn thành thực tế)'!$D19:G19)/SUM('PV (Kế hoạch)'!$D19:G19),2))</f>
        <v/>
      </c>
      <c r="H19" s="2" t="str">
        <f>IF(SUM('PV (Kế hoạch)'!$D19:H19)=0,"",ROUND(SUM('EV (Hoàn thành thực tế)'!$D19:H19)/SUM('PV (Kế hoạch)'!$D19:H19),2))</f>
        <v/>
      </c>
      <c r="I19" s="2" t="str">
        <f>IF(SUM('PV (Kế hoạch)'!$D19:I19)=0,"",ROUND(SUM('EV (Hoàn thành thực tế)'!$D19:I19)/SUM('PV (Kế hoạch)'!$D19:I19),2))</f>
        <v/>
      </c>
      <c r="J19" s="2" t="str">
        <f>IF(SUM('PV (Kế hoạch)'!$D19:J19)=0,"",ROUND(SUM('EV (Hoàn thành thực tế)'!$D19:J19)/SUM('PV (Kế hoạch)'!$D19:J19),2))</f>
        <v/>
      </c>
      <c r="K19" s="2" t="str">
        <f>IF(SUM('PV (Kế hoạch)'!$D19:K19)=0,"",ROUND(SUM('EV (Hoàn thành thực tế)'!$D19:K19)/SUM('PV (Kế hoạch)'!$D19:K19),2))</f>
        <v/>
      </c>
      <c r="L19" s="2" t="str">
        <f>IF(SUM('PV (Kế hoạch)'!$D19:L19)=0,"",ROUND(SUM('EV (Hoàn thành thực tế)'!$D19:L19)/SUM('PV (Kế hoạch)'!$D19:L19),2))</f>
        <v/>
      </c>
      <c r="M19" s="2" t="str">
        <f>IF(SUM('PV (Kế hoạch)'!$D19:M19)=0,"",ROUND(SUM('EV (Hoàn thành thực tế)'!$D19:M19)/SUM('PV (Kế hoạch)'!$D19:M19),2))</f>
        <v/>
      </c>
      <c r="N19" s="2" t="str">
        <f>IF(SUM('PV (Kế hoạch)'!$D19:N19)=0,"",ROUND(SUM('EV (Hoàn thành thực tế)'!$D19:N19)/SUM('PV (Kế hoạch)'!$D19:N19),2))</f>
        <v/>
      </c>
      <c r="O19" s="2" t="str">
        <f>IF(SUM('PV (Kế hoạch)'!$D19:O19)=0,"",ROUND(SUM('EV (Hoàn thành thực tế)'!$D19:O19)/SUM('PV (Kế hoạch)'!$D19:O19),2))</f>
        <v/>
      </c>
      <c r="P19" s="2" t="str">
        <f>IF(SUM('PV (Kế hoạch)'!$D19:P19)=0,"",ROUND(SUM('EV (Hoàn thành thực tế)'!$D19:P19)/SUM('PV (Kế hoạch)'!$D19:P19),2))</f>
        <v/>
      </c>
      <c r="Q19" s="2" t="str">
        <f>IF(SUM('PV (Kế hoạch)'!$D19:Q19)=0,"",ROUND(SUM('EV (Hoàn thành thực tế)'!$D19:Q19)/SUM('PV (Kế hoạch)'!$D19:Q19),2))</f>
        <v/>
      </c>
      <c r="R19" s="2" t="str">
        <f>IF(SUM('PV (Kế hoạch)'!$D19:R19)=0,"",ROUND(SUM('EV (Hoàn thành thực tế)'!$D19:R19)/SUM('PV (Kế hoạch)'!$D19:R19),2))</f>
        <v/>
      </c>
      <c r="S19" s="2" t="str">
        <f>IF(SUM('PV (Kế hoạch)'!$D19:S19)=0,"",ROUND(SUM('EV (Hoàn thành thực tế)'!$D19:S19)/SUM('PV (Kế hoạch)'!$D19:S19),2))</f>
        <v/>
      </c>
      <c r="T19" s="2" t="str">
        <f>IF(SUM('PV (Kế hoạch)'!$D19:T19)=0,"",ROUND(SUM('EV (Hoàn thành thực tế)'!$D19:T19)/SUM('PV (Kế hoạch)'!$D19:T19),2))</f>
        <v/>
      </c>
      <c r="U19" s="2">
        <f>IF(SUM('PV (Kế hoạch)'!$D19:U19)=0,"",ROUND(SUM('EV (Hoàn thành thực tế)'!$D19:U19)/SUM('PV (Kế hoạch)'!$D19:U19),2))</f>
        <v>1.02</v>
      </c>
      <c r="V19" s="2">
        <f>IF(SUM('PV (Kế hoạch)'!$D19:V19)=0,"",ROUND(SUM('EV (Hoàn thành thực tế)'!$D19:V19)/SUM('PV (Kế hoạch)'!$D19:V19),2))</f>
        <v>0.28999999999999998</v>
      </c>
      <c r="W19" s="2">
        <f>IF(SUM('PV (Kế hoạch)'!$D19:W19)=0,"",ROUND(SUM('EV (Hoàn thành thực tế)'!$D19:W19)/SUM('PV (Kế hoạch)'!$D19:W19),2))</f>
        <v>0.17</v>
      </c>
      <c r="X19" s="2">
        <f>IF(SUM('PV (Kế hoạch)'!$D19:X19)=0,"",ROUND(SUM('EV (Hoàn thành thực tế)'!$D19:X19)/SUM('PV (Kế hoạch)'!$D19:X19),2))</f>
        <v>0.17</v>
      </c>
      <c r="Y19" s="2">
        <f>IF(SUM('PV (Kế hoạch)'!$D19:Y19)=0,"",ROUND(SUM('EV (Hoàn thành thực tế)'!$D19:Y19)/SUM('PV (Kế hoạch)'!$D19:Y19),2))</f>
        <v>0.17</v>
      </c>
      <c r="Z19" s="2">
        <f>IF(SUM('PV (Kế hoạch)'!$D19:Z19)=0,"",ROUND(SUM('EV (Hoàn thành thực tế)'!$D19:Z19)/SUM('PV (Kế hoạch)'!$D19:Z19),2))</f>
        <v>0.17</v>
      </c>
      <c r="AA19" s="2">
        <f>IF(SUM('PV (Kế hoạch)'!$D19:AA19)=0,"",ROUND(SUM('EV (Hoàn thành thực tế)'!$D19:AA19)/SUM('PV (Kế hoạch)'!$D19:AA19),2))</f>
        <v>0.17</v>
      </c>
    </row>
    <row r="20" spans="1:27" ht="21.95" customHeight="1">
      <c r="B20" s="2">
        <f>IF('PV (Kế hoạch)'!B20="","",'PV (Kế hoạch)'!B20)</f>
        <v>18</v>
      </c>
      <c r="C20" s="3" t="str">
        <f>IF('PV (Kế hoạch)'!C20="","",'PV (Kế hoạch)'!C20)</f>
        <v>UAT (User Acceptance Testing)</v>
      </c>
      <c r="D20" s="2" t="str">
        <f>IF(SUM('PV (Kế hoạch)'!$D20:D20)=0,"",ROUND(SUM('EV (Hoàn thành thực tế)'!$D20:D20)/SUM('PV (Kế hoạch)'!$D20:D20),2))</f>
        <v/>
      </c>
      <c r="E20" s="2" t="str">
        <f>IF(SUM('PV (Kế hoạch)'!$D20:E20)=0,"",ROUND(SUM('EV (Hoàn thành thực tế)'!$D20:E20)/SUM('PV (Kế hoạch)'!$D20:E20),2))</f>
        <v/>
      </c>
      <c r="F20" s="2" t="str">
        <f>IF(SUM('PV (Kế hoạch)'!$D20:F20)=0,"",ROUND(SUM('EV (Hoàn thành thực tế)'!$D20:F20)/SUM('PV (Kế hoạch)'!$D20:F20),2))</f>
        <v/>
      </c>
      <c r="G20" s="2" t="str">
        <f>IF(SUM('PV (Kế hoạch)'!$D20:G20)=0,"",ROUND(SUM('EV (Hoàn thành thực tế)'!$D20:G20)/SUM('PV (Kế hoạch)'!$D20:G20),2))</f>
        <v/>
      </c>
      <c r="H20" s="2" t="str">
        <f>IF(SUM('PV (Kế hoạch)'!$D20:H20)=0,"",ROUND(SUM('EV (Hoàn thành thực tế)'!$D20:H20)/SUM('PV (Kế hoạch)'!$D20:H20),2))</f>
        <v/>
      </c>
      <c r="I20" s="2" t="str">
        <f>IF(SUM('PV (Kế hoạch)'!$D20:I20)=0,"",ROUND(SUM('EV (Hoàn thành thực tế)'!$D20:I20)/SUM('PV (Kế hoạch)'!$D20:I20),2))</f>
        <v/>
      </c>
      <c r="J20" s="2" t="str">
        <f>IF(SUM('PV (Kế hoạch)'!$D20:J20)=0,"",ROUND(SUM('EV (Hoàn thành thực tế)'!$D20:J20)/SUM('PV (Kế hoạch)'!$D20:J20),2))</f>
        <v/>
      </c>
      <c r="K20" s="2" t="str">
        <f>IF(SUM('PV (Kế hoạch)'!$D20:K20)=0,"",ROUND(SUM('EV (Hoàn thành thực tế)'!$D20:K20)/SUM('PV (Kế hoạch)'!$D20:K20),2))</f>
        <v/>
      </c>
      <c r="L20" s="2" t="str">
        <f>IF(SUM('PV (Kế hoạch)'!$D20:L20)=0,"",ROUND(SUM('EV (Hoàn thành thực tế)'!$D20:L20)/SUM('PV (Kế hoạch)'!$D20:L20),2))</f>
        <v/>
      </c>
      <c r="M20" s="2" t="str">
        <f>IF(SUM('PV (Kế hoạch)'!$D20:M20)=0,"",ROUND(SUM('EV (Hoàn thành thực tế)'!$D20:M20)/SUM('PV (Kế hoạch)'!$D20:M20),2))</f>
        <v/>
      </c>
      <c r="N20" s="2" t="str">
        <f>IF(SUM('PV (Kế hoạch)'!$D20:N20)=0,"",ROUND(SUM('EV (Hoàn thành thực tế)'!$D20:N20)/SUM('PV (Kế hoạch)'!$D20:N20),2))</f>
        <v/>
      </c>
      <c r="O20" s="2" t="str">
        <f>IF(SUM('PV (Kế hoạch)'!$D20:O20)=0,"",ROUND(SUM('EV (Hoàn thành thực tế)'!$D20:O20)/SUM('PV (Kế hoạch)'!$D20:O20),2))</f>
        <v/>
      </c>
      <c r="P20" s="2" t="str">
        <f>IF(SUM('PV (Kế hoạch)'!$D20:P20)=0,"",ROUND(SUM('EV (Hoàn thành thực tế)'!$D20:P20)/SUM('PV (Kế hoạch)'!$D20:P20),2))</f>
        <v/>
      </c>
      <c r="Q20" s="2" t="str">
        <f>IF(SUM('PV (Kế hoạch)'!$D20:Q20)=0,"",ROUND(SUM('EV (Hoàn thành thực tế)'!$D20:Q20)/SUM('PV (Kế hoạch)'!$D20:Q20),2))</f>
        <v/>
      </c>
      <c r="R20" s="2" t="str">
        <f>IF(SUM('PV (Kế hoạch)'!$D20:R20)=0,"",ROUND(SUM('EV (Hoàn thành thực tế)'!$D20:R20)/SUM('PV (Kế hoạch)'!$D20:R20),2))</f>
        <v/>
      </c>
      <c r="S20" s="2" t="str">
        <f>IF(SUM('PV (Kế hoạch)'!$D20:S20)=0,"",ROUND(SUM('EV (Hoàn thành thực tế)'!$D20:S20)/SUM('PV (Kế hoạch)'!$D20:S20),2))</f>
        <v/>
      </c>
      <c r="T20" s="2" t="str">
        <f>IF(SUM('PV (Kế hoạch)'!$D20:T20)=0,"",ROUND(SUM('EV (Hoàn thành thực tế)'!$D20:T20)/SUM('PV (Kế hoạch)'!$D20:T20),2))</f>
        <v/>
      </c>
      <c r="U20" s="2" t="str">
        <f>IF(SUM('PV (Kế hoạch)'!$D20:U20)=0,"",ROUND(SUM('EV (Hoàn thành thực tế)'!$D20:U20)/SUM('PV (Kế hoạch)'!$D20:U20),2))</f>
        <v/>
      </c>
      <c r="V20" s="2" t="str">
        <f>IF(SUM('PV (Kế hoạch)'!$D20:V20)=0,"",ROUND(SUM('EV (Hoàn thành thực tế)'!$D20:V20)/SUM('PV (Kế hoạch)'!$D20:V20),2))</f>
        <v/>
      </c>
      <c r="W20" s="2">
        <f>IF(SUM('PV (Kế hoạch)'!$D20:W20)=0,"",ROUND(SUM('EV (Hoàn thành thực tế)'!$D20:W20)/SUM('PV (Kế hoạch)'!$D20:W20),2))</f>
        <v>0</v>
      </c>
      <c r="X20" s="2">
        <f>IF(SUM('PV (Kế hoạch)'!$D20:X20)=0,"",ROUND(SUM('EV (Hoàn thành thực tế)'!$D20:X20)/SUM('PV (Kế hoạch)'!$D20:X20),2))</f>
        <v>0</v>
      </c>
      <c r="Y20" s="2">
        <f>IF(SUM('PV (Kế hoạch)'!$D20:Y20)=0,"",ROUND(SUM('EV (Hoàn thành thực tế)'!$D20:Y20)/SUM('PV (Kế hoạch)'!$D20:Y20),2))</f>
        <v>0</v>
      </c>
      <c r="Z20" s="2">
        <f>IF(SUM('PV (Kế hoạch)'!$D20:Z20)=0,"",ROUND(SUM('EV (Hoàn thành thực tế)'!$D20:Z20)/SUM('PV (Kế hoạch)'!$D20:Z20),2))</f>
        <v>0</v>
      </c>
      <c r="AA20" s="2">
        <f>IF(SUM('PV (Kế hoạch)'!$D20:AA20)=0,"",ROUND(SUM('EV (Hoàn thành thực tế)'!$D20:AA20)/SUM('PV (Kế hoạch)'!$D20:AA20),2))</f>
        <v>0</v>
      </c>
    </row>
    <row r="21" spans="1:27" ht="21.95" customHeight="1">
      <c r="B21" s="2">
        <f>IF('PV (Kế hoạch)'!B21="","",'PV (Kế hoạch)'!B21)</f>
        <v>19</v>
      </c>
      <c r="C21" s="3" t="str">
        <f>IF('PV (Kế hoạch)'!C21="","",'PV (Kế hoạch)'!C21)</f>
        <v>Bug fixing</v>
      </c>
      <c r="D21" s="2" t="str">
        <f>IF(SUM('PV (Kế hoạch)'!$D21:D21)=0,"",ROUND(SUM('EV (Hoàn thành thực tế)'!$D21:D21)/SUM('PV (Kế hoạch)'!$D21:D21),2))</f>
        <v/>
      </c>
      <c r="E21" s="2" t="str">
        <f>IF(SUM('PV (Kế hoạch)'!$D21:E21)=0,"",ROUND(SUM('EV (Hoàn thành thực tế)'!$D21:E21)/SUM('PV (Kế hoạch)'!$D21:E21),2))</f>
        <v/>
      </c>
      <c r="F21" s="2" t="str">
        <f>IF(SUM('PV (Kế hoạch)'!$D21:F21)=0,"",ROUND(SUM('EV (Hoàn thành thực tế)'!$D21:F21)/SUM('PV (Kế hoạch)'!$D21:F21),2))</f>
        <v/>
      </c>
      <c r="G21" s="2" t="str">
        <f>IF(SUM('PV (Kế hoạch)'!$D21:G21)=0,"",ROUND(SUM('EV (Hoàn thành thực tế)'!$D21:G21)/SUM('PV (Kế hoạch)'!$D21:G21),2))</f>
        <v/>
      </c>
      <c r="H21" s="2" t="str">
        <f>IF(SUM('PV (Kế hoạch)'!$D21:H21)=0,"",ROUND(SUM('EV (Hoàn thành thực tế)'!$D21:H21)/SUM('PV (Kế hoạch)'!$D21:H21),2))</f>
        <v/>
      </c>
      <c r="I21" s="2" t="str">
        <f>IF(SUM('PV (Kế hoạch)'!$D21:I21)=0,"",ROUND(SUM('EV (Hoàn thành thực tế)'!$D21:I21)/SUM('PV (Kế hoạch)'!$D21:I21),2))</f>
        <v/>
      </c>
      <c r="J21" s="2" t="str">
        <f>IF(SUM('PV (Kế hoạch)'!$D21:J21)=0,"",ROUND(SUM('EV (Hoàn thành thực tế)'!$D21:J21)/SUM('PV (Kế hoạch)'!$D21:J21),2))</f>
        <v/>
      </c>
      <c r="K21" s="2" t="str">
        <f>IF(SUM('PV (Kế hoạch)'!$D21:K21)=0,"",ROUND(SUM('EV (Hoàn thành thực tế)'!$D21:K21)/SUM('PV (Kế hoạch)'!$D21:K21),2))</f>
        <v/>
      </c>
      <c r="L21" s="2" t="str">
        <f>IF(SUM('PV (Kế hoạch)'!$D21:L21)=0,"",ROUND(SUM('EV (Hoàn thành thực tế)'!$D21:L21)/SUM('PV (Kế hoạch)'!$D21:L21),2))</f>
        <v/>
      </c>
      <c r="M21" s="2" t="str">
        <f>IF(SUM('PV (Kế hoạch)'!$D21:M21)=0,"",ROUND(SUM('EV (Hoàn thành thực tế)'!$D21:M21)/SUM('PV (Kế hoạch)'!$D21:M21),2))</f>
        <v/>
      </c>
      <c r="N21" s="2" t="str">
        <f>IF(SUM('PV (Kế hoạch)'!$D21:N21)=0,"",ROUND(SUM('EV (Hoàn thành thực tế)'!$D21:N21)/SUM('PV (Kế hoạch)'!$D21:N21),2))</f>
        <v/>
      </c>
      <c r="O21" s="2" t="str">
        <f>IF(SUM('PV (Kế hoạch)'!$D21:O21)=0,"",ROUND(SUM('EV (Hoàn thành thực tế)'!$D21:O21)/SUM('PV (Kế hoạch)'!$D21:O21),2))</f>
        <v/>
      </c>
      <c r="P21" s="2" t="str">
        <f>IF(SUM('PV (Kế hoạch)'!$D21:P21)=0,"",ROUND(SUM('EV (Hoàn thành thực tế)'!$D21:P21)/SUM('PV (Kế hoạch)'!$D21:P21),2))</f>
        <v/>
      </c>
      <c r="Q21" s="2" t="str">
        <f>IF(SUM('PV (Kế hoạch)'!$D21:Q21)=0,"",ROUND(SUM('EV (Hoàn thành thực tế)'!$D21:Q21)/SUM('PV (Kế hoạch)'!$D21:Q21),2))</f>
        <v/>
      </c>
      <c r="R21" s="2" t="str">
        <f>IF(SUM('PV (Kế hoạch)'!$D21:R21)=0,"",ROUND(SUM('EV (Hoàn thành thực tế)'!$D21:R21)/SUM('PV (Kế hoạch)'!$D21:R21),2))</f>
        <v/>
      </c>
      <c r="S21" s="2" t="str">
        <f>IF(SUM('PV (Kế hoạch)'!$D21:S21)=0,"",ROUND(SUM('EV (Hoàn thành thực tế)'!$D21:S21)/SUM('PV (Kế hoạch)'!$D21:S21),2))</f>
        <v/>
      </c>
      <c r="T21" s="2" t="str">
        <f>IF(SUM('PV (Kế hoạch)'!$D21:T21)=0,"",ROUND(SUM('EV (Hoàn thành thực tế)'!$D21:T21)/SUM('PV (Kế hoạch)'!$D21:T21),2))</f>
        <v/>
      </c>
      <c r="U21" s="2" t="str">
        <f>IF(SUM('PV (Kế hoạch)'!$D21:U21)=0,"",ROUND(SUM('EV (Hoàn thành thực tế)'!$D21:U21)/SUM('PV (Kế hoạch)'!$D21:U21),2))</f>
        <v/>
      </c>
      <c r="V21" s="2">
        <f>IF(SUM('PV (Kế hoạch)'!$D21:V21)=0,"",ROUND(SUM('EV (Hoàn thành thực tế)'!$D21:V21)/SUM('PV (Kế hoạch)'!$D21:V21),2))</f>
        <v>0</v>
      </c>
      <c r="W21" s="2">
        <f>IF(SUM('PV (Kế hoạch)'!$D21:W21)=0,"",ROUND(SUM('EV (Hoàn thành thực tế)'!$D21:W21)/SUM('PV (Kế hoạch)'!$D21:W21),2))</f>
        <v>0</v>
      </c>
      <c r="X21" s="2">
        <f>IF(SUM('PV (Kế hoạch)'!$D21:X21)=0,"",ROUND(SUM('EV (Hoàn thành thực tế)'!$D21:X21)/SUM('PV (Kế hoạch)'!$D21:X21),2))</f>
        <v>0</v>
      </c>
      <c r="Y21" s="2">
        <f>IF(SUM('PV (Kế hoạch)'!$D21:Y21)=0,"",ROUND(SUM('EV (Hoàn thành thực tế)'!$D21:Y21)/SUM('PV (Kế hoạch)'!$D21:Y21),2))</f>
        <v>0</v>
      </c>
      <c r="Z21" s="2">
        <f>IF(SUM('PV (Kế hoạch)'!$D21:Z21)=0,"",ROUND(SUM('EV (Hoàn thành thực tế)'!$D21:Z21)/SUM('PV (Kế hoạch)'!$D21:Z21),2))</f>
        <v>0</v>
      </c>
      <c r="AA21" s="2">
        <f>IF(SUM('PV (Kế hoạch)'!$D21:AA21)=0,"",ROUND(SUM('EV (Hoàn thành thực tế)'!$D21:AA21)/SUM('PV (Kế hoạch)'!$D21:AA21),2))</f>
        <v>0</v>
      </c>
    </row>
    <row r="22" spans="1:27" ht="21.95" customHeight="1">
      <c r="B22" s="2">
        <f>IF('PV (Kế hoạch)'!B22="","",'PV (Kế hoạch)'!B22)</f>
        <v>20</v>
      </c>
      <c r="C22" s="3" t="str">
        <f>IF('PV (Kế hoạch)'!C22="","",'PV (Kế hoạch)'!C22)</f>
        <v>Performance Optimization</v>
      </c>
      <c r="D22" s="2" t="str">
        <f>IF(SUM('PV (Kế hoạch)'!$D22:D22)=0,"",ROUND(SUM('EV (Hoàn thành thực tế)'!$D22:D22)/SUM('PV (Kế hoạch)'!$D22:D22),2))</f>
        <v/>
      </c>
      <c r="E22" s="2" t="str">
        <f>IF(SUM('PV (Kế hoạch)'!$D22:E22)=0,"",ROUND(SUM('EV (Hoàn thành thực tế)'!$D22:E22)/SUM('PV (Kế hoạch)'!$D22:E22),2))</f>
        <v/>
      </c>
      <c r="F22" s="2" t="str">
        <f>IF(SUM('PV (Kế hoạch)'!$D22:F22)=0,"",ROUND(SUM('EV (Hoàn thành thực tế)'!$D22:F22)/SUM('PV (Kế hoạch)'!$D22:F22),2))</f>
        <v/>
      </c>
      <c r="G22" s="2" t="str">
        <f>IF(SUM('PV (Kế hoạch)'!$D22:G22)=0,"",ROUND(SUM('EV (Hoàn thành thực tế)'!$D22:G22)/SUM('PV (Kế hoạch)'!$D22:G22),2))</f>
        <v/>
      </c>
      <c r="H22" s="2" t="str">
        <f>IF(SUM('PV (Kế hoạch)'!$D22:H22)=0,"",ROUND(SUM('EV (Hoàn thành thực tế)'!$D22:H22)/SUM('PV (Kế hoạch)'!$D22:H22),2))</f>
        <v/>
      </c>
      <c r="I22" s="2" t="str">
        <f>IF(SUM('PV (Kế hoạch)'!$D22:I22)=0,"",ROUND(SUM('EV (Hoàn thành thực tế)'!$D22:I22)/SUM('PV (Kế hoạch)'!$D22:I22),2))</f>
        <v/>
      </c>
      <c r="J22" s="2" t="str">
        <f>IF(SUM('PV (Kế hoạch)'!$D22:J22)=0,"",ROUND(SUM('EV (Hoàn thành thực tế)'!$D22:J22)/SUM('PV (Kế hoạch)'!$D22:J22),2))</f>
        <v/>
      </c>
      <c r="K22" s="2" t="str">
        <f>IF(SUM('PV (Kế hoạch)'!$D22:K22)=0,"",ROUND(SUM('EV (Hoàn thành thực tế)'!$D22:K22)/SUM('PV (Kế hoạch)'!$D22:K22),2))</f>
        <v/>
      </c>
      <c r="L22" s="2" t="str">
        <f>IF(SUM('PV (Kế hoạch)'!$D22:L22)=0,"",ROUND(SUM('EV (Hoàn thành thực tế)'!$D22:L22)/SUM('PV (Kế hoạch)'!$D22:L22),2))</f>
        <v/>
      </c>
      <c r="M22" s="2" t="str">
        <f>IF(SUM('PV (Kế hoạch)'!$D22:M22)=0,"",ROUND(SUM('EV (Hoàn thành thực tế)'!$D22:M22)/SUM('PV (Kế hoạch)'!$D22:M22),2))</f>
        <v/>
      </c>
      <c r="N22" s="2" t="str">
        <f>IF(SUM('PV (Kế hoạch)'!$D22:N22)=0,"",ROUND(SUM('EV (Hoàn thành thực tế)'!$D22:N22)/SUM('PV (Kế hoạch)'!$D22:N22),2))</f>
        <v/>
      </c>
      <c r="O22" s="2" t="str">
        <f>IF(SUM('PV (Kế hoạch)'!$D22:O22)=0,"",ROUND(SUM('EV (Hoàn thành thực tế)'!$D22:O22)/SUM('PV (Kế hoạch)'!$D22:O22),2))</f>
        <v/>
      </c>
      <c r="P22" s="2" t="str">
        <f>IF(SUM('PV (Kế hoạch)'!$D22:P22)=0,"",ROUND(SUM('EV (Hoàn thành thực tế)'!$D22:P22)/SUM('PV (Kế hoạch)'!$D22:P22),2))</f>
        <v/>
      </c>
      <c r="Q22" s="2" t="str">
        <f>IF(SUM('PV (Kế hoạch)'!$D22:Q22)=0,"",ROUND(SUM('EV (Hoàn thành thực tế)'!$D22:Q22)/SUM('PV (Kế hoạch)'!$D22:Q22),2))</f>
        <v/>
      </c>
      <c r="R22" s="2" t="str">
        <f>IF(SUM('PV (Kế hoạch)'!$D22:R22)=0,"",ROUND(SUM('EV (Hoàn thành thực tế)'!$D22:R22)/SUM('PV (Kế hoạch)'!$D22:R22),2))</f>
        <v/>
      </c>
      <c r="S22" s="2" t="str">
        <f>IF(SUM('PV (Kế hoạch)'!$D22:S22)=0,"",ROUND(SUM('EV (Hoàn thành thực tế)'!$D22:S22)/SUM('PV (Kế hoạch)'!$D22:S22),2))</f>
        <v/>
      </c>
      <c r="T22" s="2" t="str">
        <f>IF(SUM('PV (Kế hoạch)'!$D22:T22)=0,"",ROUND(SUM('EV (Hoàn thành thực tế)'!$D22:T22)/SUM('PV (Kế hoạch)'!$D22:T22),2))</f>
        <v/>
      </c>
      <c r="U22" s="2" t="str">
        <f>IF(SUM('PV (Kế hoạch)'!$D22:U22)=0,"",ROUND(SUM('EV (Hoàn thành thực tế)'!$D22:U22)/SUM('PV (Kế hoạch)'!$D22:U22),2))</f>
        <v/>
      </c>
      <c r="V22" s="2" t="str">
        <f>IF(SUM('PV (Kế hoạch)'!$D22:V22)=0,"",ROUND(SUM('EV (Hoàn thành thực tế)'!$D22:V22)/SUM('PV (Kế hoạch)'!$D22:V22),2))</f>
        <v/>
      </c>
      <c r="W22" s="2" t="str">
        <f>IF(SUM('PV (Kế hoạch)'!$D22:W22)=0,"",ROUND(SUM('EV (Hoàn thành thực tế)'!$D22:W22)/SUM('PV (Kế hoạch)'!$D22:W22),2))</f>
        <v/>
      </c>
      <c r="X22" s="2">
        <f>IF(SUM('PV (Kế hoạch)'!$D22:X22)=0,"",ROUND(SUM('EV (Hoàn thành thực tế)'!$D22:X22)/SUM('PV (Kế hoạch)'!$D22:X22),2))</f>
        <v>0</v>
      </c>
      <c r="Y22" s="2">
        <f>IF(SUM('PV (Kế hoạch)'!$D22:Y22)=0,"",ROUND(SUM('EV (Hoàn thành thực tế)'!$D22:Y22)/SUM('PV (Kế hoạch)'!$D22:Y22),2))</f>
        <v>0</v>
      </c>
      <c r="Z22" s="2">
        <f>IF(SUM('PV (Kế hoạch)'!$D22:Z22)=0,"",ROUND(SUM('EV (Hoàn thành thực tế)'!$D22:Z22)/SUM('PV (Kế hoạch)'!$D22:Z22),2))</f>
        <v>0</v>
      </c>
      <c r="AA22" s="2">
        <f>IF(SUM('PV (Kế hoạch)'!$D22:AA22)=0,"",ROUND(SUM('EV (Hoàn thành thực tế)'!$D22:AA22)/SUM('PV (Kế hoạch)'!$D22:AA22),2))</f>
        <v>0</v>
      </c>
    </row>
    <row r="23" spans="1:27" ht="21.95" customHeight="1">
      <c r="B23" s="2">
        <f>IF('PV (Kế hoạch)'!B23="","",'PV (Kế hoạch)'!B23)</f>
        <v>21</v>
      </c>
      <c r="C23" s="3" t="str">
        <f>IF('PV (Kế hoạch)'!C23="","",'PV (Kế hoạch)'!C23)</f>
        <v>Security Review</v>
      </c>
      <c r="D23" s="2" t="str">
        <f>IF(SUM('PV (Kế hoạch)'!$D23:D23)=0,"",ROUND(SUM('EV (Hoàn thành thực tế)'!$D23:D23)/SUM('PV (Kế hoạch)'!$D23:D23),2))</f>
        <v/>
      </c>
      <c r="E23" s="2" t="str">
        <f>IF(SUM('PV (Kế hoạch)'!$D23:E23)=0,"",ROUND(SUM('EV (Hoàn thành thực tế)'!$D23:E23)/SUM('PV (Kế hoạch)'!$D23:E23),2))</f>
        <v/>
      </c>
      <c r="F23" s="2" t="str">
        <f>IF(SUM('PV (Kế hoạch)'!$D23:F23)=0,"",ROUND(SUM('EV (Hoàn thành thực tế)'!$D23:F23)/SUM('PV (Kế hoạch)'!$D23:F23),2))</f>
        <v/>
      </c>
      <c r="G23" s="2" t="str">
        <f>IF(SUM('PV (Kế hoạch)'!$D23:G23)=0,"",ROUND(SUM('EV (Hoàn thành thực tế)'!$D23:G23)/SUM('PV (Kế hoạch)'!$D23:G23),2))</f>
        <v/>
      </c>
      <c r="H23" s="2" t="str">
        <f>IF(SUM('PV (Kế hoạch)'!$D23:H23)=0,"",ROUND(SUM('EV (Hoàn thành thực tế)'!$D23:H23)/SUM('PV (Kế hoạch)'!$D23:H23),2))</f>
        <v/>
      </c>
      <c r="I23" s="2" t="str">
        <f>IF(SUM('PV (Kế hoạch)'!$D23:I23)=0,"",ROUND(SUM('EV (Hoàn thành thực tế)'!$D23:I23)/SUM('PV (Kế hoạch)'!$D23:I23),2))</f>
        <v/>
      </c>
      <c r="J23" s="2" t="str">
        <f>IF(SUM('PV (Kế hoạch)'!$D23:J23)=0,"",ROUND(SUM('EV (Hoàn thành thực tế)'!$D23:J23)/SUM('PV (Kế hoạch)'!$D23:J23),2))</f>
        <v/>
      </c>
      <c r="K23" s="2" t="str">
        <f>IF(SUM('PV (Kế hoạch)'!$D23:K23)=0,"",ROUND(SUM('EV (Hoàn thành thực tế)'!$D23:K23)/SUM('PV (Kế hoạch)'!$D23:K23),2))</f>
        <v/>
      </c>
      <c r="L23" s="2" t="str">
        <f>IF(SUM('PV (Kế hoạch)'!$D23:L23)=0,"",ROUND(SUM('EV (Hoàn thành thực tế)'!$D23:L23)/SUM('PV (Kế hoạch)'!$D23:L23),2))</f>
        <v/>
      </c>
      <c r="M23" s="2" t="str">
        <f>IF(SUM('PV (Kế hoạch)'!$D23:M23)=0,"",ROUND(SUM('EV (Hoàn thành thực tế)'!$D23:M23)/SUM('PV (Kế hoạch)'!$D23:M23),2))</f>
        <v/>
      </c>
      <c r="N23" s="2" t="str">
        <f>IF(SUM('PV (Kế hoạch)'!$D23:N23)=0,"",ROUND(SUM('EV (Hoàn thành thực tế)'!$D23:N23)/SUM('PV (Kế hoạch)'!$D23:N23),2))</f>
        <v/>
      </c>
      <c r="O23" s="2" t="str">
        <f>IF(SUM('PV (Kế hoạch)'!$D23:O23)=0,"",ROUND(SUM('EV (Hoàn thành thực tế)'!$D23:O23)/SUM('PV (Kế hoạch)'!$D23:O23),2))</f>
        <v/>
      </c>
      <c r="P23" s="2" t="str">
        <f>IF(SUM('PV (Kế hoạch)'!$D23:P23)=0,"",ROUND(SUM('EV (Hoàn thành thực tế)'!$D23:P23)/SUM('PV (Kế hoạch)'!$D23:P23),2))</f>
        <v/>
      </c>
      <c r="Q23" s="2" t="str">
        <f>IF(SUM('PV (Kế hoạch)'!$D23:Q23)=0,"",ROUND(SUM('EV (Hoàn thành thực tế)'!$D23:Q23)/SUM('PV (Kế hoạch)'!$D23:Q23),2))</f>
        <v/>
      </c>
      <c r="R23" s="2" t="str">
        <f>IF(SUM('PV (Kế hoạch)'!$D23:R23)=0,"",ROUND(SUM('EV (Hoàn thành thực tế)'!$D23:R23)/SUM('PV (Kế hoạch)'!$D23:R23),2))</f>
        <v/>
      </c>
      <c r="S23" s="2" t="str">
        <f>IF(SUM('PV (Kế hoạch)'!$D23:S23)=0,"",ROUND(SUM('EV (Hoàn thành thực tế)'!$D23:S23)/SUM('PV (Kế hoạch)'!$D23:S23),2))</f>
        <v/>
      </c>
      <c r="T23" s="2" t="str">
        <f>IF(SUM('PV (Kế hoạch)'!$D23:T23)=0,"",ROUND(SUM('EV (Hoàn thành thực tế)'!$D23:T23)/SUM('PV (Kế hoạch)'!$D23:T23),2))</f>
        <v/>
      </c>
      <c r="U23" s="2" t="str">
        <f>IF(SUM('PV (Kế hoạch)'!$D23:U23)=0,"",ROUND(SUM('EV (Hoàn thành thực tế)'!$D23:U23)/SUM('PV (Kế hoạch)'!$D23:U23),2))</f>
        <v/>
      </c>
      <c r="V23" s="2" t="str">
        <f>IF(SUM('PV (Kế hoạch)'!$D23:V23)=0,"",ROUND(SUM('EV (Hoàn thành thực tế)'!$D23:V23)/SUM('PV (Kế hoạch)'!$D23:V23),2))</f>
        <v/>
      </c>
      <c r="W23" s="2" t="str">
        <f>IF(SUM('PV (Kế hoạch)'!$D23:W23)=0,"",ROUND(SUM('EV (Hoàn thành thực tế)'!$D23:W23)/SUM('PV (Kế hoạch)'!$D23:W23),2))</f>
        <v/>
      </c>
      <c r="X23" s="2" t="str">
        <f>IF(SUM('PV (Kế hoạch)'!$D23:X23)=0,"",ROUND(SUM('EV (Hoàn thành thực tế)'!$D23:X23)/SUM('PV (Kế hoạch)'!$D23:X23),2))</f>
        <v/>
      </c>
      <c r="Y23" s="2">
        <f>IF(SUM('PV (Kế hoạch)'!$D23:Y23)=0,"",ROUND(SUM('EV (Hoàn thành thực tế)'!$D23:Y23)/SUM('PV (Kế hoạch)'!$D23:Y23),2))</f>
        <v>0</v>
      </c>
      <c r="Z23" s="2">
        <f>IF(SUM('PV (Kế hoạch)'!$D23:Z23)=0,"",ROUND(SUM('EV (Hoàn thành thực tế)'!$D23:Z23)/SUM('PV (Kế hoạch)'!$D23:Z23),2))</f>
        <v>0</v>
      </c>
      <c r="AA23" s="2">
        <f>IF(SUM('PV (Kế hoạch)'!$D23:AA23)=0,"",ROUND(SUM('EV (Hoàn thành thực tế)'!$D23:AA23)/SUM('PV (Kế hoạch)'!$D23:AA23),2))</f>
        <v>0</v>
      </c>
    </row>
    <row r="24" spans="1:27" ht="21.95" customHeight="1">
      <c r="B24" s="2">
        <f>IF('PV (Kế hoạch)'!B24="","",'PV (Kế hoạch)'!B24)</f>
        <v>22</v>
      </c>
      <c r="C24" s="3" t="str">
        <f>IF('PV (Kế hoạch)'!C24="","",'PV (Kế hoạch)'!C24)</f>
        <v>Documentation</v>
      </c>
      <c r="D24" s="2" t="str">
        <f>IF(SUM('PV (Kế hoạch)'!$D24:D24)=0,"",ROUND(SUM('EV (Hoàn thành thực tế)'!$D24:D24)/SUM('PV (Kế hoạch)'!$D24:D24),2))</f>
        <v/>
      </c>
      <c r="E24" s="2" t="str">
        <f>IF(SUM('PV (Kế hoạch)'!$D24:E24)=0,"",ROUND(SUM('EV (Hoàn thành thực tế)'!$D24:E24)/SUM('PV (Kế hoạch)'!$D24:E24),2))</f>
        <v/>
      </c>
      <c r="F24" s="2" t="str">
        <f>IF(SUM('PV (Kế hoạch)'!$D24:F24)=0,"",ROUND(SUM('EV (Hoàn thành thực tế)'!$D24:F24)/SUM('PV (Kế hoạch)'!$D24:F24),2))</f>
        <v/>
      </c>
      <c r="G24" s="2" t="str">
        <f>IF(SUM('PV (Kế hoạch)'!$D24:G24)=0,"",ROUND(SUM('EV (Hoàn thành thực tế)'!$D24:G24)/SUM('PV (Kế hoạch)'!$D24:G24),2))</f>
        <v/>
      </c>
      <c r="H24" s="2" t="str">
        <f>IF(SUM('PV (Kế hoạch)'!$D24:H24)=0,"",ROUND(SUM('EV (Hoàn thành thực tế)'!$D24:H24)/SUM('PV (Kế hoạch)'!$D24:H24),2))</f>
        <v/>
      </c>
      <c r="I24" s="2" t="str">
        <f>IF(SUM('PV (Kế hoạch)'!$D24:I24)=0,"",ROUND(SUM('EV (Hoàn thành thực tế)'!$D24:I24)/SUM('PV (Kế hoạch)'!$D24:I24),2))</f>
        <v/>
      </c>
      <c r="J24" s="2" t="str">
        <f>IF(SUM('PV (Kế hoạch)'!$D24:J24)=0,"",ROUND(SUM('EV (Hoàn thành thực tế)'!$D24:J24)/SUM('PV (Kế hoạch)'!$D24:J24),2))</f>
        <v/>
      </c>
      <c r="K24" s="2" t="str">
        <f>IF(SUM('PV (Kế hoạch)'!$D24:K24)=0,"",ROUND(SUM('EV (Hoàn thành thực tế)'!$D24:K24)/SUM('PV (Kế hoạch)'!$D24:K24),2))</f>
        <v/>
      </c>
      <c r="L24" s="2" t="str">
        <f>IF(SUM('PV (Kế hoạch)'!$D24:L24)=0,"",ROUND(SUM('EV (Hoàn thành thực tế)'!$D24:L24)/SUM('PV (Kế hoạch)'!$D24:L24),2))</f>
        <v/>
      </c>
      <c r="M24" s="2" t="str">
        <f>IF(SUM('PV (Kế hoạch)'!$D24:M24)=0,"",ROUND(SUM('EV (Hoàn thành thực tế)'!$D24:M24)/SUM('PV (Kế hoạch)'!$D24:M24),2))</f>
        <v/>
      </c>
      <c r="N24" s="2" t="str">
        <f>IF(SUM('PV (Kế hoạch)'!$D24:N24)=0,"",ROUND(SUM('EV (Hoàn thành thực tế)'!$D24:N24)/SUM('PV (Kế hoạch)'!$D24:N24),2))</f>
        <v/>
      </c>
      <c r="O24" s="2" t="str">
        <f>IF(SUM('PV (Kế hoạch)'!$D24:O24)=0,"",ROUND(SUM('EV (Hoàn thành thực tế)'!$D24:O24)/SUM('PV (Kế hoạch)'!$D24:O24),2))</f>
        <v/>
      </c>
      <c r="P24" s="2" t="str">
        <f>IF(SUM('PV (Kế hoạch)'!$D24:P24)=0,"",ROUND(SUM('EV (Hoàn thành thực tế)'!$D24:P24)/SUM('PV (Kế hoạch)'!$D24:P24),2))</f>
        <v/>
      </c>
      <c r="Q24" s="2" t="str">
        <f>IF(SUM('PV (Kế hoạch)'!$D24:Q24)=0,"",ROUND(SUM('EV (Hoàn thành thực tế)'!$D24:Q24)/SUM('PV (Kế hoạch)'!$D24:Q24),2))</f>
        <v/>
      </c>
      <c r="R24" s="2" t="str">
        <f>IF(SUM('PV (Kế hoạch)'!$D24:R24)=0,"",ROUND(SUM('EV (Hoàn thành thực tế)'!$D24:R24)/SUM('PV (Kế hoạch)'!$D24:R24),2))</f>
        <v/>
      </c>
      <c r="S24" s="2" t="str">
        <f>IF(SUM('PV (Kế hoạch)'!$D24:S24)=0,"",ROUND(SUM('EV (Hoàn thành thực tế)'!$D24:S24)/SUM('PV (Kế hoạch)'!$D24:S24),2))</f>
        <v/>
      </c>
      <c r="T24" s="2" t="str">
        <f>IF(SUM('PV (Kế hoạch)'!$D24:T24)=0,"",ROUND(SUM('EV (Hoàn thành thực tế)'!$D24:T24)/SUM('PV (Kế hoạch)'!$D24:T24),2))</f>
        <v/>
      </c>
      <c r="U24" s="2">
        <f>IF(SUM('PV (Kế hoạch)'!$D24:U24)=0,"",ROUND(SUM('EV (Hoàn thành thực tế)'!$D24:U24)/SUM('PV (Kế hoạch)'!$D24:U24),2))</f>
        <v>1.04</v>
      </c>
      <c r="V24" s="2">
        <f>IF(SUM('PV (Kế hoạch)'!$D24:V24)=0,"",ROUND(SUM('EV (Hoàn thành thực tế)'!$D24:V24)/SUM('PV (Kế hoạch)'!$D24:V24),2))</f>
        <v>0.52</v>
      </c>
      <c r="W24" s="2">
        <f>IF(SUM('PV (Kế hoạch)'!$D24:W24)=0,"",ROUND(SUM('EV (Hoàn thành thực tế)'!$D24:W24)/SUM('PV (Kế hoạch)'!$D24:W24),2))</f>
        <v>0.35</v>
      </c>
      <c r="X24" s="2">
        <f>IF(SUM('PV (Kế hoạch)'!$D24:X24)=0,"",ROUND(SUM('EV (Hoàn thành thực tế)'!$D24:X24)/SUM('PV (Kế hoạch)'!$D24:X24),2))</f>
        <v>0.26</v>
      </c>
      <c r="Y24" s="2">
        <f>IF(SUM('PV (Kế hoạch)'!$D24:Y24)=0,"",ROUND(SUM('EV (Hoàn thành thực tế)'!$D24:Y24)/SUM('PV (Kế hoạch)'!$D24:Y24),2))</f>
        <v>0.17</v>
      </c>
      <c r="Z24" s="2">
        <f>IF(SUM('PV (Kế hoạch)'!$D24:Z24)=0,"",ROUND(SUM('EV (Hoàn thành thực tế)'!$D24:Z24)/SUM('PV (Kế hoạch)'!$D24:Z24),2))</f>
        <v>0.13</v>
      </c>
      <c r="AA24" s="2">
        <f>IF(SUM('PV (Kế hoạch)'!$D24:AA24)=0,"",ROUND(SUM('EV (Hoàn thành thực tế)'!$D24:AA24)/SUM('PV (Kế hoạch)'!$D24:AA24),2))</f>
        <v>0.13</v>
      </c>
    </row>
    <row r="25" spans="1:27" ht="21.95" customHeight="1">
      <c r="B25" s="2">
        <f>IF('PV (Kế hoạch)'!B25="","",'PV (Kế hoạch)'!B25)</f>
        <v>23</v>
      </c>
      <c r="C25" s="3" t="str">
        <f>IF('PV (Kế hoạch)'!C25="","",'PV (Kế hoạch)'!C25)</f>
        <v>Training</v>
      </c>
      <c r="D25" s="2" t="str">
        <f>IF(SUM('PV (Kế hoạch)'!$D25:D25)=0,"",ROUND(SUM('EV (Hoàn thành thực tế)'!$D25:D25)/SUM('PV (Kế hoạch)'!$D25:D25),2))</f>
        <v/>
      </c>
      <c r="E25" s="2" t="str">
        <f>IF(SUM('PV (Kế hoạch)'!$D25:E25)=0,"",ROUND(SUM('EV (Hoàn thành thực tế)'!$D25:E25)/SUM('PV (Kế hoạch)'!$D25:E25),2))</f>
        <v/>
      </c>
      <c r="F25" s="2" t="str">
        <f>IF(SUM('PV (Kế hoạch)'!$D25:F25)=0,"",ROUND(SUM('EV (Hoàn thành thực tế)'!$D25:F25)/SUM('PV (Kế hoạch)'!$D25:F25),2))</f>
        <v/>
      </c>
      <c r="G25" s="2" t="str">
        <f>IF(SUM('PV (Kế hoạch)'!$D25:G25)=0,"",ROUND(SUM('EV (Hoàn thành thực tế)'!$D25:G25)/SUM('PV (Kế hoạch)'!$D25:G25),2))</f>
        <v/>
      </c>
      <c r="H25" s="2" t="str">
        <f>IF(SUM('PV (Kế hoạch)'!$D25:H25)=0,"",ROUND(SUM('EV (Hoàn thành thực tế)'!$D25:H25)/SUM('PV (Kế hoạch)'!$D25:H25),2))</f>
        <v/>
      </c>
      <c r="I25" s="2" t="str">
        <f>IF(SUM('PV (Kế hoạch)'!$D25:I25)=0,"",ROUND(SUM('EV (Hoàn thành thực tế)'!$D25:I25)/SUM('PV (Kế hoạch)'!$D25:I25),2))</f>
        <v/>
      </c>
      <c r="J25" s="2" t="str">
        <f>IF(SUM('PV (Kế hoạch)'!$D25:J25)=0,"",ROUND(SUM('EV (Hoàn thành thực tế)'!$D25:J25)/SUM('PV (Kế hoạch)'!$D25:J25),2))</f>
        <v/>
      </c>
      <c r="K25" s="2" t="str">
        <f>IF(SUM('PV (Kế hoạch)'!$D25:K25)=0,"",ROUND(SUM('EV (Hoàn thành thực tế)'!$D25:K25)/SUM('PV (Kế hoạch)'!$D25:K25),2))</f>
        <v/>
      </c>
      <c r="L25" s="2" t="str">
        <f>IF(SUM('PV (Kế hoạch)'!$D25:L25)=0,"",ROUND(SUM('EV (Hoàn thành thực tế)'!$D25:L25)/SUM('PV (Kế hoạch)'!$D25:L25),2))</f>
        <v/>
      </c>
      <c r="M25" s="2" t="str">
        <f>IF(SUM('PV (Kế hoạch)'!$D25:M25)=0,"",ROUND(SUM('EV (Hoàn thành thực tế)'!$D25:M25)/SUM('PV (Kế hoạch)'!$D25:M25),2))</f>
        <v/>
      </c>
      <c r="N25" s="2" t="str">
        <f>IF(SUM('PV (Kế hoạch)'!$D25:N25)=0,"",ROUND(SUM('EV (Hoàn thành thực tế)'!$D25:N25)/SUM('PV (Kế hoạch)'!$D25:N25),2))</f>
        <v/>
      </c>
      <c r="O25" s="2" t="str">
        <f>IF(SUM('PV (Kế hoạch)'!$D25:O25)=0,"",ROUND(SUM('EV (Hoàn thành thực tế)'!$D25:O25)/SUM('PV (Kế hoạch)'!$D25:O25),2))</f>
        <v/>
      </c>
      <c r="P25" s="2" t="str">
        <f>IF(SUM('PV (Kế hoạch)'!$D25:P25)=0,"",ROUND(SUM('EV (Hoàn thành thực tế)'!$D25:P25)/SUM('PV (Kế hoạch)'!$D25:P25),2))</f>
        <v/>
      </c>
      <c r="Q25" s="2" t="str">
        <f>IF(SUM('PV (Kế hoạch)'!$D25:Q25)=0,"",ROUND(SUM('EV (Hoàn thành thực tế)'!$D25:Q25)/SUM('PV (Kế hoạch)'!$D25:Q25),2))</f>
        <v/>
      </c>
      <c r="R25" s="2" t="str">
        <f>IF(SUM('PV (Kế hoạch)'!$D25:R25)=0,"",ROUND(SUM('EV (Hoàn thành thực tế)'!$D25:R25)/SUM('PV (Kế hoạch)'!$D25:R25),2))</f>
        <v/>
      </c>
      <c r="S25" s="2" t="str">
        <f>IF(SUM('PV (Kế hoạch)'!$D25:S25)=0,"",ROUND(SUM('EV (Hoàn thành thực tế)'!$D25:S25)/SUM('PV (Kế hoạch)'!$D25:S25),2))</f>
        <v/>
      </c>
      <c r="T25" s="2" t="str">
        <f>IF(SUM('PV (Kế hoạch)'!$D25:T25)=0,"",ROUND(SUM('EV (Hoàn thành thực tế)'!$D25:T25)/SUM('PV (Kế hoạch)'!$D25:T25),2))</f>
        <v/>
      </c>
      <c r="U25" s="2" t="str">
        <f>IF(SUM('PV (Kế hoạch)'!$D25:U25)=0,"",ROUND(SUM('EV (Hoàn thành thực tế)'!$D25:U25)/SUM('PV (Kế hoạch)'!$D25:U25),2))</f>
        <v/>
      </c>
      <c r="V25" s="2" t="str">
        <f>IF(SUM('PV (Kế hoạch)'!$D25:V25)=0,"",ROUND(SUM('EV (Hoàn thành thực tế)'!$D25:V25)/SUM('PV (Kế hoạch)'!$D25:V25),2))</f>
        <v/>
      </c>
      <c r="W25" s="2" t="str">
        <f>IF(SUM('PV (Kế hoạch)'!$D25:W25)=0,"",ROUND(SUM('EV (Hoàn thành thực tế)'!$D25:W25)/SUM('PV (Kế hoạch)'!$D25:W25),2))</f>
        <v/>
      </c>
      <c r="X25" s="2" t="str">
        <f>IF(SUM('PV (Kế hoạch)'!$D25:X25)=0,"",ROUND(SUM('EV (Hoàn thành thực tế)'!$D25:X25)/SUM('PV (Kế hoạch)'!$D25:X25),2))</f>
        <v/>
      </c>
      <c r="Y25" s="2" t="str">
        <f>IF(SUM('PV (Kế hoạch)'!$D25:Y25)=0,"",ROUND(SUM('EV (Hoàn thành thực tế)'!$D25:Y25)/SUM('PV (Kế hoạch)'!$D25:Y25),2))</f>
        <v/>
      </c>
      <c r="Z25" s="2">
        <f>IF(SUM('PV (Kế hoạch)'!$D25:Z25)=0,"",ROUND(SUM('EV (Hoàn thành thực tế)'!$D25:Z25)/SUM('PV (Kế hoạch)'!$D25:Z25),2))</f>
        <v>0</v>
      </c>
      <c r="AA25" s="2">
        <f>IF(SUM('PV (Kế hoạch)'!$D25:AA25)=0,"",ROUND(SUM('EV (Hoàn thành thực tế)'!$D25:AA25)/SUM('PV (Kế hoạch)'!$D25:AA25),2))</f>
        <v>0</v>
      </c>
    </row>
    <row r="26" spans="1:27" ht="21.95" customHeight="1">
      <c r="B26" s="2">
        <f>IF('PV (Kế hoạch)'!B26="","",'PV (Kế hoạch)'!B26)</f>
        <v>24</v>
      </c>
      <c r="C26" s="3" t="str">
        <f>IF('PV (Kế hoạch)'!C26="","",'PV (Kế hoạch)'!C26)</f>
        <v>Deployment</v>
      </c>
      <c r="D26" s="2" t="str">
        <f>IF(SUM('PV (Kế hoạch)'!$D26:D26)=0,"",ROUND(SUM('EV (Hoàn thành thực tế)'!$D26:D26)/SUM('PV (Kế hoạch)'!$D26:D26),2))</f>
        <v/>
      </c>
      <c r="E26" s="2" t="str">
        <f>IF(SUM('PV (Kế hoạch)'!$D26:E26)=0,"",ROUND(SUM('EV (Hoàn thành thực tế)'!$D26:E26)/SUM('PV (Kế hoạch)'!$D26:E26),2))</f>
        <v/>
      </c>
      <c r="F26" s="2" t="str">
        <f>IF(SUM('PV (Kế hoạch)'!$D26:F26)=0,"",ROUND(SUM('EV (Hoàn thành thực tế)'!$D26:F26)/SUM('PV (Kế hoạch)'!$D26:F26),2))</f>
        <v/>
      </c>
      <c r="G26" s="2" t="str">
        <f>IF(SUM('PV (Kế hoạch)'!$D26:G26)=0,"",ROUND(SUM('EV (Hoàn thành thực tế)'!$D26:G26)/SUM('PV (Kế hoạch)'!$D26:G26),2))</f>
        <v/>
      </c>
      <c r="H26" s="2" t="str">
        <f>IF(SUM('PV (Kế hoạch)'!$D26:H26)=0,"",ROUND(SUM('EV (Hoàn thành thực tế)'!$D26:H26)/SUM('PV (Kế hoạch)'!$D26:H26),2))</f>
        <v/>
      </c>
      <c r="I26" s="2" t="str">
        <f>IF(SUM('PV (Kế hoạch)'!$D26:I26)=0,"",ROUND(SUM('EV (Hoàn thành thực tế)'!$D26:I26)/SUM('PV (Kế hoạch)'!$D26:I26),2))</f>
        <v/>
      </c>
      <c r="J26" s="2" t="str">
        <f>IF(SUM('PV (Kế hoạch)'!$D26:J26)=0,"",ROUND(SUM('EV (Hoàn thành thực tế)'!$D26:J26)/SUM('PV (Kế hoạch)'!$D26:J26),2))</f>
        <v/>
      </c>
      <c r="K26" s="2" t="str">
        <f>IF(SUM('PV (Kế hoạch)'!$D26:K26)=0,"",ROUND(SUM('EV (Hoàn thành thực tế)'!$D26:K26)/SUM('PV (Kế hoạch)'!$D26:K26),2))</f>
        <v/>
      </c>
      <c r="L26" s="2" t="str">
        <f>IF(SUM('PV (Kế hoạch)'!$D26:L26)=0,"",ROUND(SUM('EV (Hoàn thành thực tế)'!$D26:L26)/SUM('PV (Kế hoạch)'!$D26:L26),2))</f>
        <v/>
      </c>
      <c r="M26" s="2" t="str">
        <f>IF(SUM('PV (Kế hoạch)'!$D26:M26)=0,"",ROUND(SUM('EV (Hoàn thành thực tế)'!$D26:M26)/SUM('PV (Kế hoạch)'!$D26:M26),2))</f>
        <v/>
      </c>
      <c r="N26" s="2" t="str">
        <f>IF(SUM('PV (Kế hoạch)'!$D26:N26)=0,"",ROUND(SUM('EV (Hoàn thành thực tế)'!$D26:N26)/SUM('PV (Kế hoạch)'!$D26:N26),2))</f>
        <v/>
      </c>
      <c r="O26" s="2" t="str">
        <f>IF(SUM('PV (Kế hoạch)'!$D26:O26)=0,"",ROUND(SUM('EV (Hoàn thành thực tế)'!$D26:O26)/SUM('PV (Kế hoạch)'!$D26:O26),2))</f>
        <v/>
      </c>
      <c r="P26" s="2" t="str">
        <f>IF(SUM('PV (Kế hoạch)'!$D26:P26)=0,"",ROUND(SUM('EV (Hoàn thành thực tế)'!$D26:P26)/SUM('PV (Kế hoạch)'!$D26:P26),2))</f>
        <v/>
      </c>
      <c r="Q26" s="2" t="str">
        <f>IF(SUM('PV (Kế hoạch)'!$D26:Q26)=0,"",ROUND(SUM('EV (Hoàn thành thực tế)'!$D26:Q26)/SUM('PV (Kế hoạch)'!$D26:Q26),2))</f>
        <v/>
      </c>
      <c r="R26" s="2" t="str">
        <f>IF(SUM('PV (Kế hoạch)'!$D26:R26)=0,"",ROUND(SUM('EV (Hoàn thành thực tế)'!$D26:R26)/SUM('PV (Kế hoạch)'!$D26:R26),2))</f>
        <v/>
      </c>
      <c r="S26" s="2" t="str">
        <f>IF(SUM('PV (Kế hoạch)'!$D26:S26)=0,"",ROUND(SUM('EV (Hoàn thành thực tế)'!$D26:S26)/SUM('PV (Kế hoạch)'!$D26:S26),2))</f>
        <v/>
      </c>
      <c r="T26" s="2" t="str">
        <f>IF(SUM('PV (Kế hoạch)'!$D26:T26)=0,"",ROUND(SUM('EV (Hoàn thành thực tế)'!$D26:T26)/SUM('PV (Kế hoạch)'!$D26:T26),2))</f>
        <v/>
      </c>
      <c r="U26" s="2" t="str">
        <f>IF(SUM('PV (Kế hoạch)'!$D26:U26)=0,"",ROUND(SUM('EV (Hoàn thành thực tế)'!$D26:U26)/SUM('PV (Kế hoạch)'!$D26:U26),2))</f>
        <v/>
      </c>
      <c r="V26" s="2" t="str">
        <f>IF(SUM('PV (Kế hoạch)'!$D26:V26)=0,"",ROUND(SUM('EV (Hoàn thành thực tế)'!$D26:V26)/SUM('PV (Kế hoạch)'!$D26:V26),2))</f>
        <v/>
      </c>
      <c r="W26" s="2" t="str">
        <f>IF(SUM('PV (Kế hoạch)'!$D26:W26)=0,"",ROUND(SUM('EV (Hoàn thành thực tế)'!$D26:W26)/SUM('PV (Kế hoạch)'!$D26:W26),2))</f>
        <v/>
      </c>
      <c r="X26" s="2" t="str">
        <f>IF(SUM('PV (Kế hoạch)'!$D26:X26)=0,"",ROUND(SUM('EV (Hoàn thành thực tế)'!$D26:X26)/SUM('PV (Kế hoạch)'!$D26:X26),2))</f>
        <v/>
      </c>
      <c r="Y26" s="2" t="str">
        <f>IF(SUM('PV (Kế hoạch)'!$D26:Y26)=0,"",ROUND(SUM('EV (Hoàn thành thực tế)'!$D26:Y26)/SUM('PV (Kế hoạch)'!$D26:Y26),2))</f>
        <v/>
      </c>
      <c r="Z26" s="2">
        <f>IF(SUM('PV (Kế hoạch)'!$D26:Z26)=0,"",ROUND(SUM('EV (Hoàn thành thực tế)'!$D26:Z26)/SUM('PV (Kế hoạch)'!$D26:Z26),2))</f>
        <v>0</v>
      </c>
      <c r="AA26" s="2">
        <f>IF(SUM('PV (Kế hoạch)'!$D26:AA26)=0,"",ROUND(SUM('EV (Hoàn thành thực tế)'!$D26:AA26)/SUM('PV (Kế hoạch)'!$D26:AA26),2))</f>
        <v>0</v>
      </c>
    </row>
    <row r="27" spans="1:27" ht="21.95" customHeight="1">
      <c r="B27" s="2">
        <f>IF('PV (Kế hoạch)'!B27="","",'PV (Kế hoạch)'!B27)</f>
        <v>25</v>
      </c>
      <c r="C27" s="3" t="str">
        <f>IF('PV (Kế hoạch)'!C27="","",'PV (Kế hoạch)'!C27)</f>
        <v>Go-live Support</v>
      </c>
      <c r="D27" s="2" t="str">
        <f>IF(SUM('PV (Kế hoạch)'!$D27:D27)=0,"",ROUND(SUM('EV (Hoàn thành thực tế)'!$D27:D27)/SUM('PV (Kế hoạch)'!$D27:D27),2))</f>
        <v/>
      </c>
      <c r="E27" s="2" t="str">
        <f>IF(SUM('PV (Kế hoạch)'!$D27:E27)=0,"",ROUND(SUM('EV (Hoàn thành thực tế)'!$D27:E27)/SUM('PV (Kế hoạch)'!$D27:E27),2))</f>
        <v/>
      </c>
      <c r="F27" s="2" t="str">
        <f>IF(SUM('PV (Kế hoạch)'!$D27:F27)=0,"",ROUND(SUM('EV (Hoàn thành thực tế)'!$D27:F27)/SUM('PV (Kế hoạch)'!$D27:F27),2))</f>
        <v/>
      </c>
      <c r="G27" s="2" t="str">
        <f>IF(SUM('PV (Kế hoạch)'!$D27:G27)=0,"",ROUND(SUM('EV (Hoàn thành thực tế)'!$D27:G27)/SUM('PV (Kế hoạch)'!$D27:G27),2))</f>
        <v/>
      </c>
      <c r="H27" s="2" t="str">
        <f>IF(SUM('PV (Kế hoạch)'!$D27:H27)=0,"",ROUND(SUM('EV (Hoàn thành thực tế)'!$D27:H27)/SUM('PV (Kế hoạch)'!$D27:H27),2))</f>
        <v/>
      </c>
      <c r="I27" s="2" t="str">
        <f>IF(SUM('PV (Kế hoạch)'!$D27:I27)=0,"",ROUND(SUM('EV (Hoàn thành thực tế)'!$D27:I27)/SUM('PV (Kế hoạch)'!$D27:I27),2))</f>
        <v/>
      </c>
      <c r="J27" s="2" t="str">
        <f>IF(SUM('PV (Kế hoạch)'!$D27:J27)=0,"",ROUND(SUM('EV (Hoàn thành thực tế)'!$D27:J27)/SUM('PV (Kế hoạch)'!$D27:J27),2))</f>
        <v/>
      </c>
      <c r="K27" s="2" t="str">
        <f>IF(SUM('PV (Kế hoạch)'!$D27:K27)=0,"",ROUND(SUM('EV (Hoàn thành thực tế)'!$D27:K27)/SUM('PV (Kế hoạch)'!$D27:K27),2))</f>
        <v/>
      </c>
      <c r="L27" s="2" t="str">
        <f>IF(SUM('PV (Kế hoạch)'!$D27:L27)=0,"",ROUND(SUM('EV (Hoàn thành thực tế)'!$D27:L27)/SUM('PV (Kế hoạch)'!$D27:L27),2))</f>
        <v/>
      </c>
      <c r="M27" s="2" t="str">
        <f>IF(SUM('PV (Kế hoạch)'!$D27:M27)=0,"",ROUND(SUM('EV (Hoàn thành thực tế)'!$D27:M27)/SUM('PV (Kế hoạch)'!$D27:M27),2))</f>
        <v/>
      </c>
      <c r="N27" s="2" t="str">
        <f>IF(SUM('PV (Kế hoạch)'!$D27:N27)=0,"",ROUND(SUM('EV (Hoàn thành thực tế)'!$D27:N27)/SUM('PV (Kế hoạch)'!$D27:N27),2))</f>
        <v/>
      </c>
      <c r="O27" s="2" t="str">
        <f>IF(SUM('PV (Kế hoạch)'!$D27:O27)=0,"",ROUND(SUM('EV (Hoàn thành thực tế)'!$D27:O27)/SUM('PV (Kế hoạch)'!$D27:O27),2))</f>
        <v/>
      </c>
      <c r="P27" s="2" t="str">
        <f>IF(SUM('PV (Kế hoạch)'!$D27:P27)=0,"",ROUND(SUM('EV (Hoàn thành thực tế)'!$D27:P27)/SUM('PV (Kế hoạch)'!$D27:P27),2))</f>
        <v/>
      </c>
      <c r="Q27" s="2" t="str">
        <f>IF(SUM('PV (Kế hoạch)'!$D27:Q27)=0,"",ROUND(SUM('EV (Hoàn thành thực tế)'!$D27:Q27)/SUM('PV (Kế hoạch)'!$D27:Q27),2))</f>
        <v/>
      </c>
      <c r="R27" s="2" t="str">
        <f>IF(SUM('PV (Kế hoạch)'!$D27:R27)=0,"",ROUND(SUM('EV (Hoàn thành thực tế)'!$D27:R27)/SUM('PV (Kế hoạch)'!$D27:R27),2))</f>
        <v/>
      </c>
      <c r="S27" s="2" t="str">
        <f>IF(SUM('PV (Kế hoạch)'!$D27:S27)=0,"",ROUND(SUM('EV (Hoàn thành thực tế)'!$D27:S27)/SUM('PV (Kế hoạch)'!$D27:S27),2))</f>
        <v/>
      </c>
      <c r="T27" s="2" t="str">
        <f>IF(SUM('PV (Kế hoạch)'!$D27:T27)=0,"",ROUND(SUM('EV (Hoàn thành thực tế)'!$D27:T27)/SUM('PV (Kế hoạch)'!$D27:T27),2))</f>
        <v/>
      </c>
      <c r="U27" s="2" t="str">
        <f>IF(SUM('PV (Kế hoạch)'!$D27:U27)=0,"",ROUND(SUM('EV (Hoàn thành thực tế)'!$D27:U27)/SUM('PV (Kế hoạch)'!$D27:U27),2))</f>
        <v/>
      </c>
      <c r="V27" s="2" t="str">
        <f>IF(SUM('PV (Kế hoạch)'!$D27:V27)=0,"",ROUND(SUM('EV (Hoàn thành thực tế)'!$D27:V27)/SUM('PV (Kế hoạch)'!$D27:V27),2))</f>
        <v/>
      </c>
      <c r="W27" s="2" t="str">
        <f>IF(SUM('PV (Kế hoạch)'!$D27:W27)=0,"",ROUND(SUM('EV (Hoàn thành thực tế)'!$D27:W27)/SUM('PV (Kế hoạch)'!$D27:W27),2))</f>
        <v/>
      </c>
      <c r="X27" s="2" t="str">
        <f>IF(SUM('PV (Kế hoạch)'!$D27:X27)=0,"",ROUND(SUM('EV (Hoàn thành thực tế)'!$D27:X27)/SUM('PV (Kế hoạch)'!$D27:X27),2))</f>
        <v/>
      </c>
      <c r="Y27" s="2" t="str">
        <f>IF(SUM('PV (Kế hoạch)'!$D27:Y27)=0,"",ROUND(SUM('EV (Hoàn thành thực tế)'!$D27:Y27)/SUM('PV (Kế hoạch)'!$D27:Y27),2))</f>
        <v/>
      </c>
      <c r="Z27" s="2" t="str">
        <f>IF(SUM('PV (Kế hoạch)'!$D27:Z27)=0,"",ROUND(SUM('EV (Hoàn thành thực tế)'!$D27:Z27)/SUM('PV (Kế hoạch)'!$D27:Z27),2))</f>
        <v/>
      </c>
      <c r="AA27" s="2">
        <f>IF(SUM('PV (Kế hoạch)'!$D27:AA27)=0,"",ROUND(SUM('EV (Hoàn thành thực tế)'!$D27:AA27)/SUM('PV (Kế hoạch)'!$D27:AA27),2))</f>
        <v>0</v>
      </c>
    </row>
    <row r="28" spans="1:27" ht="21.95" customHeight="1">
      <c r="B28" s="2">
        <f>IF('PV (Kế hoạch)'!B28="","",'PV (Kế hoạch)'!B28)</f>
        <v>26</v>
      </c>
      <c r="C28" s="3" t="str">
        <f>IF('PV (Kế hoạch)'!C28="","",'PV (Kế hoạch)'!C28)</f>
        <v/>
      </c>
      <c r="D28" s="2" t="str">
        <f>IF(SUM('PV (Kế hoạch)'!$D28:D28)=0,"",ROUND(SUM('EV (Hoàn thành thực tế)'!$D28:D28)/SUM('PV (Kế hoạch)'!$D28:D28),2))</f>
        <v/>
      </c>
      <c r="E28" s="2" t="str">
        <f>IF(SUM('PV (Kế hoạch)'!$D28:E28)=0,"",ROUND(SUM('EV (Hoàn thành thực tế)'!$D28:E28)/SUM('PV (Kế hoạch)'!$D28:E28),2))</f>
        <v/>
      </c>
      <c r="F28" s="2" t="str">
        <f>IF(SUM('PV (Kế hoạch)'!$D28:F28)=0,"",ROUND(SUM('EV (Hoàn thành thực tế)'!$D28:F28)/SUM('PV (Kế hoạch)'!$D28:F28),2))</f>
        <v/>
      </c>
      <c r="G28" s="2" t="str">
        <f>IF(SUM('PV (Kế hoạch)'!$D28:G28)=0,"",ROUND(SUM('EV (Hoàn thành thực tế)'!$D28:G28)/SUM('PV (Kế hoạch)'!$D28:G28),2))</f>
        <v/>
      </c>
      <c r="H28" s="2" t="str">
        <f>IF(SUM('PV (Kế hoạch)'!$D28:H28)=0,"",ROUND(SUM('EV (Hoàn thành thực tế)'!$D28:H28)/SUM('PV (Kế hoạch)'!$D28:H28),2))</f>
        <v/>
      </c>
      <c r="I28" s="2" t="str">
        <f>IF(SUM('PV (Kế hoạch)'!$D28:I28)=0,"",ROUND(SUM('EV (Hoàn thành thực tế)'!$D28:I28)/SUM('PV (Kế hoạch)'!$D28:I28),2))</f>
        <v/>
      </c>
      <c r="J28" s="2" t="str">
        <f>IF(SUM('PV (Kế hoạch)'!$D28:J28)=0,"",ROUND(SUM('EV (Hoàn thành thực tế)'!$D28:J28)/SUM('PV (Kế hoạch)'!$D28:J28),2))</f>
        <v/>
      </c>
      <c r="K28" s="2" t="str">
        <f>IF(SUM('PV (Kế hoạch)'!$D28:K28)=0,"",ROUND(SUM('EV (Hoàn thành thực tế)'!$D28:K28)/SUM('PV (Kế hoạch)'!$D28:K28),2))</f>
        <v/>
      </c>
      <c r="L28" s="2" t="str">
        <f>IF(SUM('PV (Kế hoạch)'!$D28:L28)=0,"",ROUND(SUM('EV (Hoàn thành thực tế)'!$D28:L28)/SUM('PV (Kế hoạch)'!$D28:L28),2))</f>
        <v/>
      </c>
      <c r="M28" s="2" t="str">
        <f>IF(SUM('PV (Kế hoạch)'!$D28:M28)=0,"",ROUND(SUM('EV (Hoàn thành thực tế)'!$D28:M28)/SUM('PV (Kế hoạch)'!$D28:M28),2))</f>
        <v/>
      </c>
      <c r="N28" s="2" t="str">
        <f>IF(SUM('PV (Kế hoạch)'!$D28:N28)=0,"",ROUND(SUM('EV (Hoàn thành thực tế)'!$D28:N28)/SUM('PV (Kế hoạch)'!$D28:N28),2))</f>
        <v/>
      </c>
      <c r="O28" s="2" t="str">
        <f>IF(SUM('PV (Kế hoạch)'!$D28:O28)=0,"",ROUND(SUM('EV (Hoàn thành thực tế)'!$D28:O28)/SUM('PV (Kế hoạch)'!$D28:O28),2))</f>
        <v/>
      </c>
      <c r="P28" s="2" t="str">
        <f>IF(SUM('PV (Kế hoạch)'!$D28:P28)=0,"",ROUND(SUM('EV (Hoàn thành thực tế)'!$D28:P28)/SUM('PV (Kế hoạch)'!$D28:P28),2))</f>
        <v/>
      </c>
      <c r="Q28" s="2" t="str">
        <f>IF(SUM('PV (Kế hoạch)'!$D28:Q28)=0,"",ROUND(SUM('EV (Hoàn thành thực tế)'!$D28:Q28)/SUM('PV (Kế hoạch)'!$D28:Q28),2))</f>
        <v/>
      </c>
      <c r="R28" s="2" t="str">
        <f>IF(SUM('PV (Kế hoạch)'!$D28:R28)=0,"",ROUND(SUM('EV (Hoàn thành thực tế)'!$D28:R28)/SUM('PV (Kế hoạch)'!$D28:R28),2))</f>
        <v/>
      </c>
      <c r="S28" s="2" t="str">
        <f>IF(SUM('PV (Kế hoạch)'!$D28:S28)=0,"",ROUND(SUM('EV (Hoàn thành thực tế)'!$D28:S28)/SUM('PV (Kế hoạch)'!$D28:S28),2))</f>
        <v/>
      </c>
      <c r="T28" s="2" t="str">
        <f>IF(SUM('PV (Kế hoạch)'!$D28:T28)=0,"",ROUND(SUM('EV (Hoàn thành thực tế)'!$D28:T28)/SUM('PV (Kế hoạch)'!$D28:T28),2))</f>
        <v/>
      </c>
      <c r="U28" s="2" t="str">
        <f>IF(SUM('PV (Kế hoạch)'!$D28:U28)=0,"",ROUND(SUM('EV (Hoàn thành thực tế)'!$D28:U28)/SUM('PV (Kế hoạch)'!$D28:U28),2))</f>
        <v/>
      </c>
      <c r="V28" s="2" t="str">
        <f>IF(SUM('PV (Kế hoạch)'!$D28:V28)=0,"",ROUND(SUM('EV (Hoàn thành thực tế)'!$D28:V28)/SUM('PV (Kế hoạch)'!$D28:V28),2))</f>
        <v/>
      </c>
      <c r="W28" s="2" t="str">
        <f>IF(SUM('PV (Kế hoạch)'!$D28:W28)=0,"",ROUND(SUM('EV (Hoàn thành thực tế)'!$D28:W28)/SUM('PV (Kế hoạch)'!$D28:W28),2))</f>
        <v/>
      </c>
      <c r="X28" s="2" t="str">
        <f>IF(SUM('PV (Kế hoạch)'!$D28:X28)=0,"",ROUND(SUM('EV (Hoàn thành thực tế)'!$D28:X28)/SUM('PV (Kế hoạch)'!$D28:X28),2))</f>
        <v/>
      </c>
      <c r="Y28" s="2" t="str">
        <f>IF(SUM('PV (Kế hoạch)'!$D28:Y28)=0,"",ROUND(SUM('EV (Hoàn thành thực tế)'!$D28:Y28)/SUM('PV (Kế hoạch)'!$D28:Y28),2))</f>
        <v/>
      </c>
      <c r="Z28" s="2" t="str">
        <f>IF(SUM('PV (Kế hoạch)'!$D28:Z28)=0,"",ROUND(SUM('EV (Hoàn thành thực tế)'!$D28:Z28)/SUM('PV (Kế hoạch)'!$D28:Z28),2))</f>
        <v/>
      </c>
      <c r="AA28" s="2" t="str">
        <f>IF(SUM('PV (Kế hoạch)'!$D28:AA28)=0,"",ROUND(SUM('EV (Hoàn thành thực tế)'!$D28:AA28)/SUM('PV (Kế hoạch)'!$D28:AA28),2))</f>
        <v/>
      </c>
    </row>
    <row r="29" spans="1:27" ht="21.95" customHeight="1">
      <c r="B29" s="2">
        <f>IF('PV (Kế hoạch)'!B29="","",'PV (Kế hoạch)'!B29)</f>
        <v>27</v>
      </c>
      <c r="C29" s="3" t="str">
        <f>IF('PV (Kế hoạch)'!C29="","",'PV (Kế hoạch)'!C29)</f>
        <v/>
      </c>
      <c r="D29" s="2" t="str">
        <f>IF(SUM('PV (Kế hoạch)'!$D29:D29)=0,"",ROUND(SUM('EV (Hoàn thành thực tế)'!$D29:D29)/SUM('PV (Kế hoạch)'!$D29:D29),2))</f>
        <v/>
      </c>
      <c r="E29" s="2" t="str">
        <f>IF(SUM('PV (Kế hoạch)'!$D29:E29)=0,"",ROUND(SUM('EV (Hoàn thành thực tế)'!$D29:E29)/SUM('PV (Kế hoạch)'!$D29:E29),2))</f>
        <v/>
      </c>
      <c r="F29" s="2" t="str">
        <f>IF(SUM('PV (Kế hoạch)'!$D29:F29)=0,"",ROUND(SUM('EV (Hoàn thành thực tế)'!$D29:F29)/SUM('PV (Kế hoạch)'!$D29:F29),2))</f>
        <v/>
      </c>
      <c r="G29" s="2" t="str">
        <f>IF(SUM('PV (Kế hoạch)'!$D29:G29)=0,"",ROUND(SUM('EV (Hoàn thành thực tế)'!$D29:G29)/SUM('PV (Kế hoạch)'!$D29:G29),2))</f>
        <v/>
      </c>
      <c r="H29" s="2" t="str">
        <f>IF(SUM('PV (Kế hoạch)'!$D29:H29)=0,"",ROUND(SUM('EV (Hoàn thành thực tế)'!$D29:H29)/SUM('PV (Kế hoạch)'!$D29:H29),2))</f>
        <v/>
      </c>
      <c r="I29" s="2" t="str">
        <f>IF(SUM('PV (Kế hoạch)'!$D29:I29)=0,"",ROUND(SUM('EV (Hoàn thành thực tế)'!$D29:I29)/SUM('PV (Kế hoạch)'!$D29:I29),2))</f>
        <v/>
      </c>
      <c r="J29" s="2" t="str">
        <f>IF(SUM('PV (Kế hoạch)'!$D29:J29)=0,"",ROUND(SUM('EV (Hoàn thành thực tế)'!$D29:J29)/SUM('PV (Kế hoạch)'!$D29:J29),2))</f>
        <v/>
      </c>
      <c r="K29" s="2" t="str">
        <f>IF(SUM('PV (Kế hoạch)'!$D29:K29)=0,"",ROUND(SUM('EV (Hoàn thành thực tế)'!$D29:K29)/SUM('PV (Kế hoạch)'!$D29:K29),2))</f>
        <v/>
      </c>
      <c r="L29" s="2" t="str">
        <f>IF(SUM('PV (Kế hoạch)'!$D29:L29)=0,"",ROUND(SUM('EV (Hoàn thành thực tế)'!$D29:L29)/SUM('PV (Kế hoạch)'!$D29:L29),2))</f>
        <v/>
      </c>
      <c r="M29" s="2" t="str">
        <f>IF(SUM('PV (Kế hoạch)'!$D29:M29)=0,"",ROUND(SUM('EV (Hoàn thành thực tế)'!$D29:M29)/SUM('PV (Kế hoạch)'!$D29:M29),2))</f>
        <v/>
      </c>
      <c r="N29" s="2" t="str">
        <f>IF(SUM('PV (Kế hoạch)'!$D29:N29)=0,"",ROUND(SUM('EV (Hoàn thành thực tế)'!$D29:N29)/SUM('PV (Kế hoạch)'!$D29:N29),2))</f>
        <v/>
      </c>
      <c r="O29" s="2" t="str">
        <f>IF(SUM('PV (Kế hoạch)'!$D29:O29)=0,"",ROUND(SUM('EV (Hoàn thành thực tế)'!$D29:O29)/SUM('PV (Kế hoạch)'!$D29:O29),2))</f>
        <v/>
      </c>
      <c r="P29" s="2" t="str">
        <f>IF(SUM('PV (Kế hoạch)'!$D29:P29)=0,"",ROUND(SUM('EV (Hoàn thành thực tế)'!$D29:P29)/SUM('PV (Kế hoạch)'!$D29:P29),2))</f>
        <v/>
      </c>
      <c r="Q29" s="2" t="str">
        <f>IF(SUM('PV (Kế hoạch)'!$D29:Q29)=0,"",ROUND(SUM('EV (Hoàn thành thực tế)'!$D29:Q29)/SUM('PV (Kế hoạch)'!$D29:Q29),2))</f>
        <v/>
      </c>
      <c r="R29" s="2" t="str">
        <f>IF(SUM('PV (Kế hoạch)'!$D29:R29)=0,"",ROUND(SUM('EV (Hoàn thành thực tế)'!$D29:R29)/SUM('PV (Kế hoạch)'!$D29:R29),2))</f>
        <v/>
      </c>
      <c r="S29" s="2" t="str">
        <f>IF(SUM('PV (Kế hoạch)'!$D29:S29)=0,"",ROUND(SUM('EV (Hoàn thành thực tế)'!$D29:S29)/SUM('PV (Kế hoạch)'!$D29:S29),2))</f>
        <v/>
      </c>
      <c r="T29" s="2" t="str">
        <f>IF(SUM('PV (Kế hoạch)'!$D29:T29)=0,"",ROUND(SUM('EV (Hoàn thành thực tế)'!$D29:T29)/SUM('PV (Kế hoạch)'!$D29:T29),2))</f>
        <v/>
      </c>
      <c r="U29" s="2" t="str">
        <f>IF(SUM('PV (Kế hoạch)'!$D29:U29)=0,"",ROUND(SUM('EV (Hoàn thành thực tế)'!$D29:U29)/SUM('PV (Kế hoạch)'!$D29:U29),2))</f>
        <v/>
      </c>
      <c r="V29" s="2" t="str">
        <f>IF(SUM('PV (Kế hoạch)'!$D29:V29)=0,"",ROUND(SUM('EV (Hoàn thành thực tế)'!$D29:V29)/SUM('PV (Kế hoạch)'!$D29:V29),2))</f>
        <v/>
      </c>
      <c r="W29" s="2" t="str">
        <f>IF(SUM('PV (Kế hoạch)'!$D29:W29)=0,"",ROUND(SUM('EV (Hoàn thành thực tế)'!$D29:W29)/SUM('PV (Kế hoạch)'!$D29:W29),2))</f>
        <v/>
      </c>
      <c r="X29" s="2" t="str">
        <f>IF(SUM('PV (Kế hoạch)'!$D29:X29)=0,"",ROUND(SUM('EV (Hoàn thành thực tế)'!$D29:X29)/SUM('PV (Kế hoạch)'!$D29:X29),2))</f>
        <v/>
      </c>
      <c r="Y29" s="2" t="str">
        <f>IF(SUM('PV (Kế hoạch)'!$D29:Y29)=0,"",ROUND(SUM('EV (Hoàn thành thực tế)'!$D29:Y29)/SUM('PV (Kế hoạch)'!$D29:Y29),2))</f>
        <v/>
      </c>
      <c r="Z29" s="2" t="str">
        <f>IF(SUM('PV (Kế hoạch)'!$D29:Z29)=0,"",ROUND(SUM('EV (Hoàn thành thực tế)'!$D29:Z29)/SUM('PV (Kế hoạch)'!$D29:Z29),2))</f>
        <v/>
      </c>
      <c r="AA29" s="2" t="str">
        <f>IF(SUM('PV (Kế hoạch)'!$D29:AA29)=0,"",ROUND(SUM('EV (Hoàn thành thực tế)'!$D29:AA29)/SUM('PV (Kế hoạch)'!$D29:AA29),2))</f>
        <v/>
      </c>
    </row>
    <row r="30" spans="1:27" ht="21.95" customHeight="1">
      <c r="B30" s="2">
        <f>IF('PV (Kế hoạch)'!B30="","",'PV (Kế hoạch)'!B30)</f>
        <v>28</v>
      </c>
      <c r="C30" s="3" t="str">
        <f>IF('PV (Kế hoạch)'!C30="","",'PV (Kế hoạch)'!C30)</f>
        <v/>
      </c>
      <c r="D30" s="2" t="str">
        <f>IF(SUM('PV (Kế hoạch)'!$D30:D30)=0,"",ROUND(SUM('EV (Hoàn thành thực tế)'!$D30:D30)/SUM('PV (Kế hoạch)'!$D30:D30),2))</f>
        <v/>
      </c>
      <c r="E30" s="2" t="str">
        <f>IF(SUM('PV (Kế hoạch)'!$D30:E30)=0,"",ROUND(SUM('EV (Hoàn thành thực tế)'!$D30:E30)/SUM('PV (Kế hoạch)'!$D30:E30),2))</f>
        <v/>
      </c>
      <c r="F30" s="2" t="str">
        <f>IF(SUM('PV (Kế hoạch)'!$D30:F30)=0,"",ROUND(SUM('EV (Hoàn thành thực tế)'!$D30:F30)/SUM('PV (Kế hoạch)'!$D30:F30),2))</f>
        <v/>
      </c>
      <c r="G30" s="2" t="str">
        <f>IF(SUM('PV (Kế hoạch)'!$D30:G30)=0,"",ROUND(SUM('EV (Hoàn thành thực tế)'!$D30:G30)/SUM('PV (Kế hoạch)'!$D30:G30),2))</f>
        <v/>
      </c>
      <c r="H30" s="2" t="str">
        <f>IF(SUM('PV (Kế hoạch)'!$D30:H30)=0,"",ROUND(SUM('EV (Hoàn thành thực tế)'!$D30:H30)/SUM('PV (Kế hoạch)'!$D30:H30),2))</f>
        <v/>
      </c>
      <c r="I30" s="2" t="str">
        <f>IF(SUM('PV (Kế hoạch)'!$D30:I30)=0,"",ROUND(SUM('EV (Hoàn thành thực tế)'!$D30:I30)/SUM('PV (Kế hoạch)'!$D30:I30),2))</f>
        <v/>
      </c>
      <c r="J30" s="2" t="str">
        <f>IF(SUM('PV (Kế hoạch)'!$D30:J30)=0,"",ROUND(SUM('EV (Hoàn thành thực tế)'!$D30:J30)/SUM('PV (Kế hoạch)'!$D30:J30),2))</f>
        <v/>
      </c>
      <c r="K30" s="2" t="str">
        <f>IF(SUM('PV (Kế hoạch)'!$D30:K30)=0,"",ROUND(SUM('EV (Hoàn thành thực tế)'!$D30:K30)/SUM('PV (Kế hoạch)'!$D30:K30),2))</f>
        <v/>
      </c>
      <c r="L30" s="2" t="str">
        <f>IF(SUM('PV (Kế hoạch)'!$D30:L30)=0,"",ROUND(SUM('EV (Hoàn thành thực tế)'!$D30:L30)/SUM('PV (Kế hoạch)'!$D30:L30),2))</f>
        <v/>
      </c>
      <c r="M30" s="2" t="str">
        <f>IF(SUM('PV (Kế hoạch)'!$D30:M30)=0,"",ROUND(SUM('EV (Hoàn thành thực tế)'!$D30:M30)/SUM('PV (Kế hoạch)'!$D30:M30),2))</f>
        <v/>
      </c>
      <c r="N30" s="2" t="str">
        <f>IF(SUM('PV (Kế hoạch)'!$D30:N30)=0,"",ROUND(SUM('EV (Hoàn thành thực tế)'!$D30:N30)/SUM('PV (Kế hoạch)'!$D30:N30),2))</f>
        <v/>
      </c>
      <c r="O30" s="2" t="str">
        <f>IF(SUM('PV (Kế hoạch)'!$D30:O30)=0,"",ROUND(SUM('EV (Hoàn thành thực tế)'!$D30:O30)/SUM('PV (Kế hoạch)'!$D30:O30),2))</f>
        <v/>
      </c>
      <c r="P30" s="2" t="str">
        <f>IF(SUM('PV (Kế hoạch)'!$D30:P30)=0,"",ROUND(SUM('EV (Hoàn thành thực tế)'!$D30:P30)/SUM('PV (Kế hoạch)'!$D30:P30),2))</f>
        <v/>
      </c>
      <c r="Q30" s="2" t="str">
        <f>IF(SUM('PV (Kế hoạch)'!$D30:Q30)=0,"",ROUND(SUM('EV (Hoàn thành thực tế)'!$D30:Q30)/SUM('PV (Kế hoạch)'!$D30:Q30),2))</f>
        <v/>
      </c>
      <c r="R30" s="2" t="str">
        <f>IF(SUM('PV (Kế hoạch)'!$D30:R30)=0,"",ROUND(SUM('EV (Hoàn thành thực tế)'!$D30:R30)/SUM('PV (Kế hoạch)'!$D30:R30),2))</f>
        <v/>
      </c>
      <c r="S30" s="2" t="str">
        <f>IF(SUM('PV (Kế hoạch)'!$D30:S30)=0,"",ROUND(SUM('EV (Hoàn thành thực tế)'!$D30:S30)/SUM('PV (Kế hoạch)'!$D30:S30),2))</f>
        <v/>
      </c>
      <c r="T30" s="2" t="str">
        <f>IF(SUM('PV (Kế hoạch)'!$D30:T30)=0,"",ROUND(SUM('EV (Hoàn thành thực tế)'!$D30:T30)/SUM('PV (Kế hoạch)'!$D30:T30),2))</f>
        <v/>
      </c>
      <c r="U30" s="2" t="str">
        <f>IF(SUM('PV (Kế hoạch)'!$D30:U30)=0,"",ROUND(SUM('EV (Hoàn thành thực tế)'!$D30:U30)/SUM('PV (Kế hoạch)'!$D30:U30),2))</f>
        <v/>
      </c>
      <c r="V30" s="2" t="str">
        <f>IF(SUM('PV (Kế hoạch)'!$D30:V30)=0,"",ROUND(SUM('EV (Hoàn thành thực tế)'!$D30:V30)/SUM('PV (Kế hoạch)'!$D30:V30),2))</f>
        <v/>
      </c>
      <c r="W30" s="2" t="str">
        <f>IF(SUM('PV (Kế hoạch)'!$D30:W30)=0,"",ROUND(SUM('EV (Hoàn thành thực tế)'!$D30:W30)/SUM('PV (Kế hoạch)'!$D30:W30),2))</f>
        <v/>
      </c>
      <c r="X30" s="2" t="str">
        <f>IF(SUM('PV (Kế hoạch)'!$D30:X30)=0,"",ROUND(SUM('EV (Hoàn thành thực tế)'!$D30:X30)/SUM('PV (Kế hoạch)'!$D30:X30),2))</f>
        <v/>
      </c>
      <c r="Y30" s="2" t="str">
        <f>IF(SUM('PV (Kế hoạch)'!$D30:Y30)=0,"",ROUND(SUM('EV (Hoàn thành thực tế)'!$D30:Y30)/SUM('PV (Kế hoạch)'!$D30:Y30),2))</f>
        <v/>
      </c>
      <c r="Z30" s="2" t="str">
        <f>IF(SUM('PV (Kế hoạch)'!$D30:Z30)=0,"",ROUND(SUM('EV (Hoàn thành thực tế)'!$D30:Z30)/SUM('PV (Kế hoạch)'!$D30:Z30),2))</f>
        <v/>
      </c>
      <c r="AA30" s="2" t="str">
        <f>IF(SUM('PV (Kế hoạch)'!$D30:AA30)=0,"",ROUND(SUM('EV (Hoàn thành thực tế)'!$D30:AA30)/SUM('PV (Kế hoạch)'!$D30:AA30),2))</f>
        <v/>
      </c>
    </row>
    <row r="31" spans="1:27" ht="21.95" customHeight="1">
      <c r="B31" s="2">
        <f>IF('PV (Kế hoạch)'!B31="","",'PV (Kế hoạch)'!B31)</f>
        <v>29</v>
      </c>
      <c r="C31" s="3" t="str">
        <f>IF('PV (Kế hoạch)'!C31="","",'PV (Kế hoạch)'!C31)</f>
        <v/>
      </c>
      <c r="D31" s="2" t="str">
        <f>IF(SUM('PV (Kế hoạch)'!$D31:D31)=0,"",ROUND(SUM('EV (Hoàn thành thực tế)'!$D31:D31)/SUM('PV (Kế hoạch)'!$D31:D31),2))</f>
        <v/>
      </c>
      <c r="E31" s="2" t="str">
        <f>IF(SUM('PV (Kế hoạch)'!$D31:E31)=0,"",ROUND(SUM('EV (Hoàn thành thực tế)'!$D31:E31)/SUM('PV (Kế hoạch)'!$D31:E31),2))</f>
        <v/>
      </c>
      <c r="F31" s="2" t="str">
        <f>IF(SUM('PV (Kế hoạch)'!$D31:F31)=0,"",ROUND(SUM('EV (Hoàn thành thực tế)'!$D31:F31)/SUM('PV (Kế hoạch)'!$D31:F31),2))</f>
        <v/>
      </c>
      <c r="G31" s="2" t="str">
        <f>IF(SUM('PV (Kế hoạch)'!$D31:G31)=0,"",ROUND(SUM('EV (Hoàn thành thực tế)'!$D31:G31)/SUM('PV (Kế hoạch)'!$D31:G31),2))</f>
        <v/>
      </c>
      <c r="H31" s="2" t="str">
        <f>IF(SUM('PV (Kế hoạch)'!$D31:H31)=0,"",ROUND(SUM('EV (Hoàn thành thực tế)'!$D31:H31)/SUM('PV (Kế hoạch)'!$D31:H31),2))</f>
        <v/>
      </c>
      <c r="I31" s="2" t="str">
        <f>IF(SUM('PV (Kế hoạch)'!$D31:I31)=0,"",ROUND(SUM('EV (Hoàn thành thực tế)'!$D31:I31)/SUM('PV (Kế hoạch)'!$D31:I31),2))</f>
        <v/>
      </c>
      <c r="J31" s="2" t="str">
        <f>IF(SUM('PV (Kế hoạch)'!$D31:J31)=0,"",ROUND(SUM('EV (Hoàn thành thực tế)'!$D31:J31)/SUM('PV (Kế hoạch)'!$D31:J31),2))</f>
        <v/>
      </c>
      <c r="K31" s="2" t="str">
        <f>IF(SUM('PV (Kế hoạch)'!$D31:K31)=0,"",ROUND(SUM('EV (Hoàn thành thực tế)'!$D31:K31)/SUM('PV (Kế hoạch)'!$D31:K31),2))</f>
        <v/>
      </c>
      <c r="L31" s="2" t="str">
        <f>IF(SUM('PV (Kế hoạch)'!$D31:L31)=0,"",ROUND(SUM('EV (Hoàn thành thực tế)'!$D31:L31)/SUM('PV (Kế hoạch)'!$D31:L31),2))</f>
        <v/>
      </c>
      <c r="M31" s="2" t="str">
        <f>IF(SUM('PV (Kế hoạch)'!$D31:M31)=0,"",ROUND(SUM('EV (Hoàn thành thực tế)'!$D31:M31)/SUM('PV (Kế hoạch)'!$D31:M31),2))</f>
        <v/>
      </c>
      <c r="N31" s="2" t="str">
        <f>IF(SUM('PV (Kế hoạch)'!$D31:N31)=0,"",ROUND(SUM('EV (Hoàn thành thực tế)'!$D31:N31)/SUM('PV (Kế hoạch)'!$D31:N31),2))</f>
        <v/>
      </c>
      <c r="O31" s="2" t="str">
        <f>IF(SUM('PV (Kế hoạch)'!$D31:O31)=0,"",ROUND(SUM('EV (Hoàn thành thực tế)'!$D31:O31)/SUM('PV (Kế hoạch)'!$D31:O31),2))</f>
        <v/>
      </c>
      <c r="P31" s="2" t="str">
        <f>IF(SUM('PV (Kế hoạch)'!$D31:P31)=0,"",ROUND(SUM('EV (Hoàn thành thực tế)'!$D31:P31)/SUM('PV (Kế hoạch)'!$D31:P31),2))</f>
        <v/>
      </c>
      <c r="Q31" s="2" t="str">
        <f>IF(SUM('PV (Kế hoạch)'!$D31:Q31)=0,"",ROUND(SUM('EV (Hoàn thành thực tế)'!$D31:Q31)/SUM('PV (Kế hoạch)'!$D31:Q31),2))</f>
        <v/>
      </c>
      <c r="R31" s="2" t="str">
        <f>IF(SUM('PV (Kế hoạch)'!$D31:R31)=0,"",ROUND(SUM('EV (Hoàn thành thực tế)'!$D31:R31)/SUM('PV (Kế hoạch)'!$D31:R31),2))</f>
        <v/>
      </c>
      <c r="S31" s="2" t="str">
        <f>IF(SUM('PV (Kế hoạch)'!$D31:S31)=0,"",ROUND(SUM('EV (Hoàn thành thực tế)'!$D31:S31)/SUM('PV (Kế hoạch)'!$D31:S31),2))</f>
        <v/>
      </c>
      <c r="T31" s="2" t="str">
        <f>IF(SUM('PV (Kế hoạch)'!$D31:T31)=0,"",ROUND(SUM('EV (Hoàn thành thực tế)'!$D31:T31)/SUM('PV (Kế hoạch)'!$D31:T31),2))</f>
        <v/>
      </c>
      <c r="U31" s="2" t="str">
        <f>IF(SUM('PV (Kế hoạch)'!$D31:U31)=0,"",ROUND(SUM('EV (Hoàn thành thực tế)'!$D31:U31)/SUM('PV (Kế hoạch)'!$D31:U31),2))</f>
        <v/>
      </c>
      <c r="V31" s="2" t="str">
        <f>IF(SUM('PV (Kế hoạch)'!$D31:V31)=0,"",ROUND(SUM('EV (Hoàn thành thực tế)'!$D31:V31)/SUM('PV (Kế hoạch)'!$D31:V31),2))</f>
        <v/>
      </c>
      <c r="W31" s="2" t="str">
        <f>IF(SUM('PV (Kế hoạch)'!$D31:W31)=0,"",ROUND(SUM('EV (Hoàn thành thực tế)'!$D31:W31)/SUM('PV (Kế hoạch)'!$D31:W31),2))</f>
        <v/>
      </c>
      <c r="X31" s="2" t="str">
        <f>IF(SUM('PV (Kế hoạch)'!$D31:X31)=0,"",ROUND(SUM('EV (Hoàn thành thực tế)'!$D31:X31)/SUM('PV (Kế hoạch)'!$D31:X31),2))</f>
        <v/>
      </c>
      <c r="Y31" s="2" t="str">
        <f>IF(SUM('PV (Kế hoạch)'!$D31:Y31)=0,"",ROUND(SUM('EV (Hoàn thành thực tế)'!$D31:Y31)/SUM('PV (Kế hoạch)'!$D31:Y31),2))</f>
        <v/>
      </c>
      <c r="Z31" s="2" t="str">
        <f>IF(SUM('PV (Kế hoạch)'!$D31:Z31)=0,"",ROUND(SUM('EV (Hoàn thành thực tế)'!$D31:Z31)/SUM('PV (Kế hoạch)'!$D31:Z31),2))</f>
        <v/>
      </c>
      <c r="AA31" s="2" t="str">
        <f>IF(SUM('PV (Kế hoạch)'!$D31:AA31)=0,"",ROUND(SUM('EV (Hoàn thành thực tế)'!$D31:AA31)/SUM('PV (Kế hoạch)'!$D31:AA31),2))</f>
        <v/>
      </c>
    </row>
    <row r="32" spans="1:27" ht="24.75" customHeight="1">
      <c r="A32" s="36" t="s">
        <v>128</v>
      </c>
      <c r="B32" s="27" t="str">
        <f>IF('PV (Kế hoạch)'!B32="","",'PV (Kế hoạch)'!B32)</f>
        <v/>
      </c>
      <c r="C32" s="28" t="str">
        <f>IF('PV (Kế hoạch)'!C32="","",'PV (Kế hoạch)'!C32)</f>
        <v>Không chèn thêm dòng vào dưới dòng này</v>
      </c>
      <c r="D32" s="27" t="str">
        <f>IF(SUM('PV (Kế hoạch)'!$D32:D32)=0,"",ROUND(SUM('EV (Hoàn thành thực tế)'!$D32:D32)/SUM('PV (Kế hoạch)'!$D32:D32),2))</f>
        <v/>
      </c>
      <c r="E32" s="27" t="str">
        <f>IF(SUM('PV (Kế hoạch)'!$D32:E32)=0,"",ROUND(SUM('EV (Hoàn thành thực tế)'!$D32:E32)/SUM('PV (Kế hoạch)'!$D32:E32),2))</f>
        <v/>
      </c>
      <c r="F32" s="27" t="str">
        <f>IF(SUM('PV (Kế hoạch)'!$D32:F32)=0,"",ROUND(SUM('EV (Hoàn thành thực tế)'!$D32:F32)/SUM('PV (Kế hoạch)'!$D32:F32),2))</f>
        <v/>
      </c>
      <c r="G32" s="27" t="str">
        <f>IF(SUM('PV (Kế hoạch)'!$D32:G32)=0,"",ROUND(SUM('EV (Hoàn thành thực tế)'!$D32:G32)/SUM('PV (Kế hoạch)'!$D32:G32),2))</f>
        <v/>
      </c>
      <c r="H32" s="27" t="str">
        <f>IF(SUM('PV (Kế hoạch)'!$D32:H32)=0,"",ROUND(SUM('EV (Hoàn thành thực tế)'!$D32:H32)/SUM('PV (Kế hoạch)'!$D32:H32),2))</f>
        <v/>
      </c>
      <c r="I32" s="27" t="str">
        <f>IF(SUM('PV (Kế hoạch)'!$D32:I32)=0,"",ROUND(SUM('EV (Hoàn thành thực tế)'!$D32:I32)/SUM('PV (Kế hoạch)'!$D32:I32),2))</f>
        <v/>
      </c>
      <c r="J32" s="27" t="str">
        <f>IF(SUM('PV (Kế hoạch)'!$D32:J32)=0,"",ROUND(SUM('EV (Hoàn thành thực tế)'!$D32:J32)/SUM('PV (Kế hoạch)'!$D32:J32),2))</f>
        <v/>
      </c>
      <c r="K32" s="27" t="str">
        <f>IF(SUM('PV (Kế hoạch)'!$D32:K32)=0,"",ROUND(SUM('EV (Hoàn thành thực tế)'!$D32:K32)/SUM('PV (Kế hoạch)'!$D32:K32),2))</f>
        <v/>
      </c>
      <c r="L32" s="27" t="str">
        <f>IF(SUM('PV (Kế hoạch)'!$D32:L32)=0,"",ROUND(SUM('EV (Hoàn thành thực tế)'!$D32:L32)/SUM('PV (Kế hoạch)'!$D32:L32),2))</f>
        <v/>
      </c>
      <c r="M32" s="27" t="str">
        <f>IF(SUM('PV (Kế hoạch)'!$D32:M32)=0,"",ROUND(SUM('EV (Hoàn thành thực tế)'!$D32:M32)/SUM('PV (Kế hoạch)'!$D32:M32),2))</f>
        <v/>
      </c>
      <c r="N32" s="27" t="str">
        <f>IF(SUM('PV (Kế hoạch)'!$D32:N32)=0,"",ROUND(SUM('EV (Hoàn thành thực tế)'!$D32:N32)/SUM('PV (Kế hoạch)'!$D32:N32),2))</f>
        <v/>
      </c>
      <c r="O32" s="27" t="str">
        <f>IF(SUM('PV (Kế hoạch)'!$D32:O32)=0,"",ROUND(SUM('EV (Hoàn thành thực tế)'!$D32:O32)/SUM('PV (Kế hoạch)'!$D32:O32),2))</f>
        <v/>
      </c>
      <c r="P32" s="27" t="str">
        <f>IF(SUM('PV (Kế hoạch)'!$D32:P32)=0,"",ROUND(SUM('EV (Hoàn thành thực tế)'!$D32:P32)/SUM('PV (Kế hoạch)'!$D32:P32),2))</f>
        <v/>
      </c>
      <c r="Q32" s="27" t="str">
        <f>IF(SUM('PV (Kế hoạch)'!$D32:Q32)=0,"",ROUND(SUM('EV (Hoàn thành thực tế)'!$D32:Q32)/SUM('PV (Kế hoạch)'!$D32:Q32),2))</f>
        <v/>
      </c>
      <c r="R32" s="27" t="str">
        <f>IF(SUM('PV (Kế hoạch)'!$D32:R32)=0,"",ROUND(SUM('EV (Hoàn thành thực tế)'!$D32:R32)/SUM('PV (Kế hoạch)'!$D32:R32),2))</f>
        <v/>
      </c>
      <c r="S32" s="27" t="str">
        <f>IF(SUM('PV (Kế hoạch)'!$D32:S32)=0,"",ROUND(SUM('EV (Hoàn thành thực tế)'!$D32:S32)/SUM('PV (Kế hoạch)'!$D32:S32),2))</f>
        <v/>
      </c>
      <c r="T32" s="27" t="str">
        <f>IF(SUM('PV (Kế hoạch)'!$D32:T32)=0,"",ROUND(SUM('EV (Hoàn thành thực tế)'!$D32:T32)/SUM('PV (Kế hoạch)'!$D32:T32),2))</f>
        <v/>
      </c>
      <c r="U32" s="27" t="str">
        <f>IF(SUM('PV (Kế hoạch)'!$D32:U32)=0,"",ROUND(SUM('EV (Hoàn thành thực tế)'!$D32:U32)/SUM('PV (Kế hoạch)'!$D32:U32),2))</f>
        <v/>
      </c>
      <c r="V32" s="27" t="str">
        <f>IF(SUM('PV (Kế hoạch)'!$D32:V32)=0,"",ROUND(SUM('EV (Hoàn thành thực tế)'!$D32:V32)/SUM('PV (Kế hoạch)'!$D32:V32),2))</f>
        <v/>
      </c>
      <c r="W32" s="27" t="str">
        <f>IF(SUM('PV (Kế hoạch)'!$D32:W32)=0,"",ROUND(SUM('EV (Hoàn thành thực tế)'!$D32:W32)/SUM('PV (Kế hoạch)'!$D32:W32),2))</f>
        <v/>
      </c>
      <c r="X32" s="27" t="str">
        <f>IF(SUM('PV (Kế hoạch)'!$D32:X32)=0,"",ROUND(SUM('EV (Hoàn thành thực tế)'!$D32:X32)/SUM('PV (Kế hoạch)'!$D32:X32),2))</f>
        <v/>
      </c>
      <c r="Y32" s="27" t="str">
        <f>IF(SUM('PV (Kế hoạch)'!$D32:Y32)=0,"",ROUND(SUM('EV (Hoàn thành thực tế)'!$D32:Y32)/SUM('PV (Kế hoạch)'!$D32:Y32),2))</f>
        <v/>
      </c>
      <c r="Z32" s="27" t="str">
        <f>IF(SUM('PV (Kế hoạch)'!$D32:Z32)=0,"",ROUND(SUM('EV (Hoàn thành thực tế)'!$D32:Z32)/SUM('PV (Kế hoạch)'!$D32:Z32),2))</f>
        <v/>
      </c>
      <c r="AA32" s="27" t="str">
        <f>IF(SUM('PV (Kế hoạch)'!$D32:AA32)=0,"",ROUND(SUM('EV (Hoàn thành thực tế)'!$D32:AA32)/SUM('PV (Kế hoạch)'!$D32:AA32),2))</f>
        <v/>
      </c>
    </row>
    <row r="33" spans="2:27" ht="21.95" customHeight="1">
      <c r="B33" s="18"/>
      <c r="C33" s="26" t="s">
        <v>129</v>
      </c>
      <c r="D33" s="14">
        <f>IF(SUM('PV (Kế hoạch)'!$D33:D33)=0,"",ROUND(SUM('EV (Hoàn thành thực tế)'!$D33:D33)/SUM('PV (Kế hoạch)'!$D33:D33),2))</f>
        <v>0.99</v>
      </c>
      <c r="E33" s="14">
        <f>IF(SUM('PV (Kế hoạch)'!$D33:E33)=0,"",ROUND(SUM('EV (Hoàn thành thực tế)'!$D33:E33)/SUM('PV (Kế hoạch)'!$D33:E33),2))</f>
        <v>1</v>
      </c>
      <c r="F33" s="14">
        <f>IF(SUM('PV (Kế hoạch)'!$D33:F33)=0,"",ROUND(SUM('EV (Hoàn thành thực tế)'!$D33:F33)/SUM('PV (Kế hoạch)'!$D33:F33),2))</f>
        <v>1</v>
      </c>
      <c r="G33" s="14">
        <f>IF(SUM('PV (Kế hoạch)'!$D33:G33)=0,"",ROUND(SUM('EV (Hoàn thành thực tế)'!$D33:G33)/SUM('PV (Kế hoạch)'!$D33:G33),2))</f>
        <v>1</v>
      </c>
      <c r="H33" s="14">
        <f>IF(SUM('PV (Kế hoạch)'!$D33:H33)=0,"",ROUND(SUM('EV (Hoàn thành thực tế)'!$D33:H33)/SUM('PV (Kế hoạch)'!$D33:H33),2))</f>
        <v>1</v>
      </c>
      <c r="I33" s="14">
        <f>IF(SUM('PV (Kế hoạch)'!$D33:I33)=0,"",ROUND(SUM('EV (Hoàn thành thực tế)'!$D33:I33)/SUM('PV (Kế hoạch)'!$D33:I33),2))</f>
        <v>1</v>
      </c>
      <c r="J33" s="14">
        <f>IF(SUM('PV (Kế hoạch)'!$D33:J33)=0,"",ROUND(SUM('EV (Hoàn thành thực tế)'!$D33:J33)/SUM('PV (Kế hoạch)'!$D33:J33),2))</f>
        <v>1</v>
      </c>
      <c r="K33" s="14">
        <f>IF(SUM('PV (Kế hoạch)'!$D33:K33)=0,"",ROUND(SUM('EV (Hoàn thành thực tế)'!$D33:K33)/SUM('PV (Kế hoạch)'!$D33:K33),2))</f>
        <v>1</v>
      </c>
      <c r="L33" s="14">
        <f>IF(SUM('PV (Kế hoạch)'!$D33:L33)=0,"",ROUND(SUM('EV (Hoàn thành thực tế)'!$D33:L33)/SUM('PV (Kế hoạch)'!$D33:L33),2))</f>
        <v>1</v>
      </c>
      <c r="M33" s="14">
        <f>IF(SUM('PV (Kế hoạch)'!$D33:M33)=0,"",ROUND(SUM('EV (Hoàn thành thực tế)'!$D33:M33)/SUM('PV (Kế hoạch)'!$D33:M33),2))</f>
        <v>1</v>
      </c>
      <c r="N33" s="14">
        <f>IF(SUM('PV (Kế hoạch)'!$D33:N33)=0,"",ROUND(SUM('EV (Hoàn thành thực tế)'!$D33:N33)/SUM('PV (Kế hoạch)'!$D33:N33),2))</f>
        <v>1</v>
      </c>
      <c r="O33" s="14">
        <f>IF(SUM('PV (Kế hoạch)'!$D33:O33)=0,"",ROUND(SUM('EV (Hoàn thành thực tế)'!$D33:O33)/SUM('PV (Kế hoạch)'!$D33:O33),2))</f>
        <v>1</v>
      </c>
      <c r="P33" s="14">
        <f>IF(SUM('PV (Kế hoạch)'!$D33:P33)=0,"",ROUND(SUM('EV (Hoàn thành thực tế)'!$D33:P33)/SUM('PV (Kế hoạch)'!$D33:P33),2))</f>
        <v>1</v>
      </c>
      <c r="Q33" s="14">
        <f>IF(SUM('PV (Kế hoạch)'!$D33:Q33)=0,"",ROUND(SUM('EV (Hoàn thành thực tế)'!$D33:Q33)/SUM('PV (Kế hoạch)'!$D33:Q33),2))</f>
        <v>1</v>
      </c>
      <c r="R33" s="14">
        <f>IF(SUM('PV (Kế hoạch)'!$D33:R33)=0,"",ROUND(SUM('EV (Hoàn thành thực tế)'!$D33:R33)/SUM('PV (Kế hoạch)'!$D33:R33),2))</f>
        <v>1</v>
      </c>
      <c r="S33" s="14">
        <f>IF(SUM('PV (Kế hoạch)'!$D33:S33)=0,"",ROUND(SUM('EV (Hoàn thành thực tế)'!$D33:S33)/SUM('PV (Kế hoạch)'!$D33:S33),2))</f>
        <v>1</v>
      </c>
      <c r="T33" s="14">
        <f>IF(SUM('PV (Kế hoạch)'!$D33:T33)=0,"",ROUND(SUM('EV (Hoàn thành thực tế)'!$D33:T33)/SUM('PV (Kế hoạch)'!$D33:T33),2))</f>
        <v>1</v>
      </c>
      <c r="U33" s="14">
        <f>IF(SUM('PV (Kế hoạch)'!$D33:U33)=0,"",ROUND(SUM('EV (Hoàn thành thực tế)'!$D33:U33)/SUM('PV (Kế hoạch)'!$D33:U33),2))</f>
        <v>1</v>
      </c>
      <c r="V33" s="14">
        <f>IF(SUM('PV (Kế hoạch)'!$D33:V33)=0,"",ROUND(SUM('EV (Hoàn thành thực tế)'!$D33:V33)/SUM('PV (Kế hoạch)'!$D33:V33),2))</f>
        <v>0.96</v>
      </c>
      <c r="W33" s="14">
        <f>IF(SUM('PV (Kế hoạch)'!$D33:W33)=0,"",ROUND(SUM('EV (Hoàn thành thực tế)'!$D33:W33)/SUM('PV (Kế hoạch)'!$D33:W33),2))</f>
        <v>0.92</v>
      </c>
      <c r="X33" s="14">
        <f>IF(SUM('PV (Kế hoạch)'!$D33:X33)=0,"",ROUND(SUM('EV (Hoàn thành thực tế)'!$D33:X33)/SUM('PV (Kế hoạch)'!$D33:X33),2))</f>
        <v>0.87</v>
      </c>
      <c r="Y33" s="14">
        <f>IF(SUM('PV (Kế hoạch)'!$D33:Y33)=0,"",ROUND(SUM('EV (Hoàn thành thực tế)'!$D33:Y33)/SUM('PV (Kế hoạch)'!$D33:Y33),2))</f>
        <v>0.83</v>
      </c>
      <c r="Z33" s="14">
        <f>IF(SUM('PV (Kế hoạch)'!$D33:Z33)=0,"",ROUND(SUM('EV (Hoàn thành thực tế)'!$D33:Z33)/SUM('PV (Kế hoạch)'!$D33:Z33),2))</f>
        <v>0.8</v>
      </c>
      <c r="AA33" s="14">
        <f>IF(SUM('PV (Kế hoạch)'!$D33:AA33)=0,"",ROUND(SUM('EV (Hoàn thành thực tế)'!$D33:AA33)/SUM('PV (Kế hoạch)'!$D33:AA33),2))</f>
        <v>0.77</v>
      </c>
    </row>
    <row r="34" spans="2:27" ht="21.95" customHeight="1"/>
    <row r="35" spans="2:27" ht="21.95" customHeight="1"/>
    <row r="36" spans="2:27" ht="21.95" customHeight="1"/>
    <row r="37" spans="2:27" ht="21.95" customHeight="1"/>
    <row r="38" spans="2:27" ht="21.95" customHeight="1"/>
    <row r="39" spans="2:27" ht="21.95" customHeight="1"/>
  </sheetData>
  <mergeCells count="1">
    <mergeCell ref="B1:AA1"/>
  </mergeCells>
  <hyperlinks>
    <hyperlink ref="A32" r:id="rId1" xr:uid="{6FDC57B5-D000-4986-832A-225458DF6FDB}"/>
  </hyperlinks>
  <pageMargins left="0.75" right="0.75" top="1" bottom="1" header="0.5" footer="0.5"/>
  <drawing r:id="rId2"/>
  <extLst>
    <ext xmlns:x14="http://schemas.microsoft.com/office/spreadsheetml/2009/9/main" uri="{78C0D931-6437-407d-A8EE-F0AAD7539E65}">
      <x14:conditionalFormattings>
        <x14:conditionalFormatting xmlns:xm="http://schemas.microsoft.com/office/excel/2006/main">
          <x14:cfRule type="expression" priority="1" id="{B432A35D-340F-4197-8AA0-601877A7482C}">
            <xm:f>AND(D3&lt;&gt;"",D3&gt;'Hướng dẫn'!$F$23)</xm:f>
            <x14:dxf>
              <fill>
                <patternFill patternType="solid">
                  <fgColor rgb="FFC6EFCE"/>
                  <bgColor rgb="FF92D050"/>
                </patternFill>
              </fill>
            </x14:dxf>
          </x14:cfRule>
          <x14:cfRule type="expression" priority="2" id="{00000000-000E-0000-0600-000002000000}">
            <xm:f>AND(D3&lt;&gt;"",D3&lt;'Hướng dẫn'!$G$25,D3&gt;='Hướng dẫn'!$F$25)</xm:f>
            <x14:dxf>
              <fill>
                <patternFill patternType="solid">
                  <fgColor rgb="FFFFC7CE"/>
                  <bgColor rgb="FFFFFF00"/>
                </patternFill>
              </fill>
            </x14:dxf>
          </x14:cfRule>
          <x14:cfRule type="expression" priority="3" id="{00000000-000E-0000-0600-000001000000}">
            <xm:f>AND(D3&lt;&gt;"",D3&lt;'Hướng dẫn'!$F$26)</xm:f>
            <x14:dxf>
              <fill>
                <patternFill patternType="solid">
                  <fgColor rgb="FFC6EFCE"/>
                  <bgColor rgb="FFFF0000"/>
                </patternFill>
              </fill>
            </x14:dxf>
          </x14:cfRule>
          <xm:sqref>D3:AA33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B1:AB39"/>
  <sheetViews>
    <sheetView zoomScale="70" zoomScaleNormal="70" workbookViewId="0">
      <pane xSplit="3" ySplit="2" topLeftCell="D3" activePane="bottomRight" state="frozen"/>
      <selection pane="bottomRight" activeCell="X37" sqref="X37"/>
      <selection pane="bottomLeft" activeCell="K26" sqref="K26"/>
      <selection pane="topRight" activeCell="K26" sqref="K26"/>
    </sheetView>
  </sheetViews>
  <sheetFormatPr defaultColWidth="8.7109375" defaultRowHeight="14.45"/>
  <cols>
    <col min="1" max="1" width="0.7109375" style="17" customWidth="1"/>
    <col min="2" max="2" width="6" style="17" customWidth="1"/>
    <col min="3" max="3" width="45" style="17" customWidth="1"/>
    <col min="4" max="28" width="8" style="17" customWidth="1"/>
    <col min="29" max="16384" width="8.7109375" style="17"/>
  </cols>
  <sheetData>
    <row r="1" spans="2:28" ht="30" customHeight="1">
      <c r="B1" s="29" t="s">
        <v>130</v>
      </c>
      <c r="C1" s="30"/>
      <c r="D1" s="30"/>
      <c r="E1" s="30"/>
      <c r="F1" s="30"/>
      <c r="G1" s="30"/>
      <c r="H1" s="30"/>
      <c r="I1" s="30"/>
      <c r="J1" s="30"/>
      <c r="K1" s="30"/>
      <c r="L1" s="30"/>
      <c r="M1" s="30"/>
      <c r="N1" s="30"/>
      <c r="O1" s="30"/>
      <c r="P1" s="30"/>
      <c r="Q1" s="30"/>
      <c r="R1" s="30"/>
      <c r="S1" s="30"/>
      <c r="T1" s="30"/>
      <c r="U1" s="30"/>
      <c r="V1" s="30"/>
      <c r="W1" s="30"/>
      <c r="X1" s="30"/>
      <c r="Y1" s="30"/>
      <c r="Z1" s="30"/>
      <c r="AA1" s="30"/>
      <c r="AB1" s="30"/>
    </row>
    <row r="2" spans="2:28" ht="21.95" customHeight="1">
      <c r="B2" s="1" t="s">
        <v>2</v>
      </c>
      <c r="C2" s="1" t="s">
        <v>70</v>
      </c>
      <c r="D2" s="1" t="s">
        <v>125</v>
      </c>
      <c r="E2" s="1" t="s">
        <v>72</v>
      </c>
      <c r="F2" s="1" t="s">
        <v>73</v>
      </c>
      <c r="G2" s="1" t="s">
        <v>74</v>
      </c>
      <c r="H2" s="1" t="s">
        <v>75</v>
      </c>
      <c r="I2" s="1" t="s">
        <v>76</v>
      </c>
      <c r="J2" s="1" t="s">
        <v>77</v>
      </c>
      <c r="K2" s="1" t="s">
        <v>78</v>
      </c>
      <c r="L2" s="1" t="s">
        <v>79</v>
      </c>
      <c r="M2" s="1" t="s">
        <v>80</v>
      </c>
      <c r="N2" s="1" t="s">
        <v>81</v>
      </c>
      <c r="O2" s="1" t="s">
        <v>82</v>
      </c>
      <c r="P2" s="1" t="s">
        <v>83</v>
      </c>
      <c r="Q2" s="1" t="s">
        <v>84</v>
      </c>
      <c r="R2" s="1" t="s">
        <v>85</v>
      </c>
      <c r="S2" s="1" t="s">
        <v>86</v>
      </c>
      <c r="T2" s="1" t="s">
        <v>87</v>
      </c>
      <c r="U2" s="1" t="s">
        <v>88</v>
      </c>
      <c r="V2" s="1" t="s">
        <v>89</v>
      </c>
      <c r="W2" s="1" t="s">
        <v>90</v>
      </c>
      <c r="X2" s="1" t="s">
        <v>91</v>
      </c>
      <c r="Y2" s="1" t="s">
        <v>92</v>
      </c>
      <c r="Z2" s="1" t="s">
        <v>93</v>
      </c>
      <c r="AA2" s="1" t="s">
        <v>94</v>
      </c>
      <c r="AB2" s="1" t="s">
        <v>95</v>
      </c>
    </row>
    <row r="3" spans="2:28" ht="21.95" customHeight="1">
      <c r="B3" s="2">
        <f>IF('PV (Kế hoạch)'!B3="","",'PV (Kế hoạch)'!B3)</f>
        <v>1</v>
      </c>
      <c r="C3" s="3" t="str">
        <f>IF('PV (Kế hoạch)'!C3="","",'PV (Kế hoạch)'!C3)</f>
        <v>Phân tích yêu cầu (Requirements Analysis)</v>
      </c>
      <c r="D3" s="2">
        <f>'EV (Tiến độ lũy kế)'!D3*SUM('PV (Kế hoạch)'!$D3:$AA3)</f>
        <v>4.9400000000000004</v>
      </c>
      <c r="E3" s="2">
        <f>'EV (Tiến độ lũy kế)'!E3*SUM('PV (Kế hoạch)'!$D3:$AA3)-SUM($D3:D3)</f>
        <v>5.0699999999999994</v>
      </c>
      <c r="F3" s="2">
        <f>'EV (Tiến độ lũy kế)'!F3*SUM('PV (Kế hoạch)'!$D3:$AA3)-SUM($D3:E3)</f>
        <v>2.99</v>
      </c>
      <c r="G3" s="2">
        <f>'EV (Tiến độ lũy kế)'!G3*SUM('PV (Kế hoạch)'!$D3:$AA3)-SUM($D3:F3)</f>
        <v>0</v>
      </c>
      <c r="H3" s="2">
        <f>'EV (Tiến độ lũy kế)'!H3*SUM('PV (Kế hoạch)'!$D3:$AA3)-SUM($D3:G3)</f>
        <v>0</v>
      </c>
      <c r="I3" s="2">
        <f>'EV (Tiến độ lũy kế)'!I3*SUM('PV (Kế hoạch)'!$D3:$AA3)-SUM($D3:H3)</f>
        <v>0</v>
      </c>
      <c r="J3" s="2">
        <f>'EV (Tiến độ lũy kế)'!J3*SUM('PV (Kế hoạch)'!$D3:$AA3)-SUM($D3:I3)</f>
        <v>0</v>
      </c>
      <c r="K3" s="2">
        <f>'EV (Tiến độ lũy kế)'!K3*SUM('PV (Kế hoạch)'!$D3:$AA3)-SUM($D3:J3)</f>
        <v>0</v>
      </c>
      <c r="L3" s="2">
        <f>'EV (Tiến độ lũy kế)'!L3*SUM('PV (Kế hoạch)'!$D3:$AA3)-SUM($D3:K3)</f>
        <v>0</v>
      </c>
      <c r="M3" s="2">
        <f>'EV (Tiến độ lũy kế)'!M3*SUM('PV (Kế hoạch)'!$D3:$AA3)-SUM($D3:L3)</f>
        <v>0</v>
      </c>
      <c r="N3" s="2">
        <f>'EV (Tiến độ lũy kế)'!N3*SUM('PV (Kế hoạch)'!$D3:$AA3)-SUM($D3:M3)</f>
        <v>0</v>
      </c>
      <c r="O3" s="2">
        <f>'EV (Tiến độ lũy kế)'!O3*SUM('PV (Kế hoạch)'!$D3:$AA3)-SUM($D3:N3)</f>
        <v>0</v>
      </c>
      <c r="P3" s="2">
        <f>'EV (Tiến độ lũy kế)'!P3*SUM('PV (Kế hoạch)'!$D3:$AA3)-SUM($D3:O3)</f>
        <v>0</v>
      </c>
      <c r="Q3" s="2">
        <f>'EV (Tiến độ lũy kế)'!Q3*SUM('PV (Kế hoạch)'!$D3:$AA3)-SUM($D3:P3)</f>
        <v>0</v>
      </c>
      <c r="R3" s="2">
        <f>'EV (Tiến độ lũy kế)'!R3*SUM('PV (Kế hoạch)'!$D3:$AA3)-SUM($D3:Q3)</f>
        <v>0</v>
      </c>
      <c r="S3" s="2">
        <f>'EV (Tiến độ lũy kế)'!S3*SUM('PV (Kế hoạch)'!$D3:$AA3)-SUM($D3:R3)</f>
        <v>0</v>
      </c>
      <c r="T3" s="2">
        <f>'EV (Tiến độ lũy kế)'!T3*SUM('PV (Kế hoạch)'!$D3:$AA3)-SUM($D3:S3)</f>
        <v>0</v>
      </c>
      <c r="U3" s="2">
        <f>'EV (Tiến độ lũy kế)'!U3*SUM('PV (Kế hoạch)'!$D3:$AA3)-SUM($D3:T3)</f>
        <v>0</v>
      </c>
      <c r="V3" s="2">
        <f>'EV (Tiến độ lũy kế)'!V3*SUM('PV (Kế hoạch)'!$D3:$AA3)-SUM($D3:U3)</f>
        <v>0</v>
      </c>
      <c r="W3" s="2">
        <f>'EV (Tiến độ lũy kế)'!W3*SUM('PV (Kế hoạch)'!$D3:$AA3)-SUM($D3:V3)</f>
        <v>0</v>
      </c>
      <c r="X3" s="2">
        <f>'EV (Tiến độ lũy kế)'!X3*SUM('PV (Kế hoạch)'!$D3:$AA3)-SUM($D3:W3)</f>
        <v>0</v>
      </c>
      <c r="Y3" s="2">
        <f>'EV (Tiến độ lũy kế)'!Y3*SUM('PV (Kế hoạch)'!$D3:$AA3)-SUM($D3:X3)</f>
        <v>0</v>
      </c>
      <c r="Z3" s="2">
        <f>'EV (Tiến độ lũy kế)'!Z3*SUM('PV (Kế hoạch)'!$D3:$AA3)-SUM($D3:Y3)</f>
        <v>0</v>
      </c>
      <c r="AA3" s="2">
        <f>'EV (Tiến độ lũy kế)'!AA3*SUM('PV (Kế hoạch)'!$D3:$AA3)-SUM($D3:Z3)</f>
        <v>0</v>
      </c>
      <c r="AB3" s="5">
        <f t="shared" ref="AB3:AB32" si="0">SUM(D3:AA3)</f>
        <v>13</v>
      </c>
    </row>
    <row r="4" spans="2:28" ht="21.95" customHeight="1">
      <c r="B4" s="2">
        <f>IF('PV (Kế hoạch)'!B4="","",'PV (Kế hoạch)'!B4)</f>
        <v>2</v>
      </c>
      <c r="C4" s="3" t="str">
        <f>IF('PV (Kế hoạch)'!C4="","",'PV (Kế hoạch)'!C4)</f>
        <v>Thiết kế hệ thống (System Design)</v>
      </c>
      <c r="D4" s="2">
        <f>'EV (Tiến độ lũy kế)'!D4*SUM('PV (Kế hoạch)'!$D4:$AA4)</f>
        <v>0</v>
      </c>
      <c r="E4" s="2">
        <f>'EV (Tiến độ lũy kế)'!E4*SUM('PV (Kế hoạch)'!$D4:$AA4)-SUM($D4:D4)</f>
        <v>0</v>
      </c>
      <c r="F4" s="2">
        <f>'EV (Tiến độ lũy kế)'!F4*SUM('PV (Kế hoạch)'!$D4:$AA4)-SUM($D4:E4)</f>
        <v>3</v>
      </c>
      <c r="G4" s="2">
        <f>'EV (Tiến độ lũy kế)'!G4*SUM('PV (Kế hoạch)'!$D4:$AA4)-SUM($D4:F4)</f>
        <v>4.95</v>
      </c>
      <c r="H4" s="2">
        <f>'EV (Tiến độ lũy kế)'!H4*SUM('PV (Kế hoạch)'!$D4:$AA4)-SUM($D4:G4)</f>
        <v>5.1000000000000005</v>
      </c>
      <c r="I4" s="2">
        <f>'EV (Tiến độ lũy kế)'!I4*SUM('PV (Kế hoạch)'!$D4:$AA4)-SUM($D4:H4)</f>
        <v>1.9499999999999993</v>
      </c>
      <c r="J4" s="2">
        <f>'EV (Tiến độ lũy kế)'!J4*SUM('PV (Kế hoạch)'!$D4:$AA4)-SUM($D4:I4)</f>
        <v>0</v>
      </c>
      <c r="K4" s="2">
        <f>'EV (Tiến độ lũy kế)'!K4*SUM('PV (Kế hoạch)'!$D4:$AA4)-SUM($D4:J4)</f>
        <v>0</v>
      </c>
      <c r="L4" s="2">
        <f>'EV (Tiến độ lũy kế)'!L4*SUM('PV (Kế hoạch)'!$D4:$AA4)-SUM($D4:K4)</f>
        <v>0</v>
      </c>
      <c r="M4" s="2">
        <f>'EV (Tiến độ lũy kế)'!M4*SUM('PV (Kế hoạch)'!$D4:$AA4)-SUM($D4:L4)</f>
        <v>0</v>
      </c>
      <c r="N4" s="2">
        <f>'EV (Tiến độ lũy kế)'!N4*SUM('PV (Kế hoạch)'!$D4:$AA4)-SUM($D4:M4)</f>
        <v>0</v>
      </c>
      <c r="O4" s="2">
        <f>'EV (Tiến độ lũy kế)'!O4*SUM('PV (Kế hoạch)'!$D4:$AA4)-SUM($D4:N4)</f>
        <v>0</v>
      </c>
      <c r="P4" s="2">
        <f>'EV (Tiến độ lũy kế)'!P4*SUM('PV (Kế hoạch)'!$D4:$AA4)-SUM($D4:O4)</f>
        <v>0</v>
      </c>
      <c r="Q4" s="2">
        <f>'EV (Tiến độ lũy kế)'!Q4*SUM('PV (Kế hoạch)'!$D4:$AA4)-SUM($D4:P4)</f>
        <v>0</v>
      </c>
      <c r="R4" s="2">
        <f>'EV (Tiến độ lũy kế)'!R4*SUM('PV (Kế hoạch)'!$D4:$AA4)-SUM($D4:Q4)</f>
        <v>0</v>
      </c>
      <c r="S4" s="2">
        <f>'EV (Tiến độ lũy kế)'!S4*SUM('PV (Kế hoạch)'!$D4:$AA4)-SUM($D4:R4)</f>
        <v>0</v>
      </c>
      <c r="T4" s="2">
        <f>'EV (Tiến độ lũy kế)'!T4*SUM('PV (Kế hoạch)'!$D4:$AA4)-SUM($D4:S4)</f>
        <v>0</v>
      </c>
      <c r="U4" s="2">
        <f>'EV (Tiến độ lũy kế)'!U4*SUM('PV (Kế hoạch)'!$D4:$AA4)-SUM($D4:T4)</f>
        <v>0</v>
      </c>
      <c r="V4" s="2">
        <f>'EV (Tiến độ lũy kế)'!V4*SUM('PV (Kế hoạch)'!$D4:$AA4)-SUM($D4:U4)</f>
        <v>0</v>
      </c>
      <c r="W4" s="2">
        <f>'EV (Tiến độ lũy kế)'!W4*SUM('PV (Kế hoạch)'!$D4:$AA4)-SUM($D4:V4)</f>
        <v>0</v>
      </c>
      <c r="X4" s="2">
        <f>'EV (Tiến độ lũy kế)'!X4*SUM('PV (Kế hoạch)'!$D4:$AA4)-SUM($D4:W4)</f>
        <v>0</v>
      </c>
      <c r="Y4" s="2">
        <f>'EV (Tiến độ lũy kế)'!Y4*SUM('PV (Kế hoạch)'!$D4:$AA4)-SUM($D4:X4)</f>
        <v>0</v>
      </c>
      <c r="Z4" s="2">
        <f>'EV (Tiến độ lũy kế)'!Z4*SUM('PV (Kế hoạch)'!$D4:$AA4)-SUM($D4:Y4)</f>
        <v>0</v>
      </c>
      <c r="AA4" s="2">
        <f>'EV (Tiến độ lũy kế)'!AA4*SUM('PV (Kế hoạch)'!$D4:$AA4)-SUM($D4:Z4)</f>
        <v>0</v>
      </c>
      <c r="AB4" s="5">
        <f t="shared" si="0"/>
        <v>15</v>
      </c>
    </row>
    <row r="5" spans="2:28" ht="21.95" customHeight="1">
      <c r="B5" s="2">
        <f>IF('PV (Kế hoạch)'!B5="","",'PV (Kế hoạch)'!B5)</f>
        <v>3</v>
      </c>
      <c r="C5" s="3" t="str">
        <f>IF('PV (Kế hoạch)'!C5="","",'PV (Kế hoạch)'!C5)</f>
        <v>Thiết kế database (Database Design)</v>
      </c>
      <c r="D5" s="2">
        <f>'EV (Tiến độ lũy kế)'!D5*SUM('PV (Kế hoạch)'!$D5:$AA5)</f>
        <v>0</v>
      </c>
      <c r="E5" s="2">
        <f>'EV (Tiến độ lũy kế)'!E5*SUM('PV (Kế hoạch)'!$D5:$AA5)-SUM($D5:D5)</f>
        <v>0</v>
      </c>
      <c r="F5" s="2">
        <f>'EV (Tiến độ lũy kế)'!F5*SUM('PV (Kế hoạch)'!$D5:$AA5)-SUM($D5:E5)</f>
        <v>0</v>
      </c>
      <c r="G5" s="2">
        <f>'EV (Tiến độ lũy kế)'!G5*SUM('PV (Kế hoạch)'!$D5:$AA5)-SUM($D5:F5)</f>
        <v>2</v>
      </c>
      <c r="H5" s="2">
        <f>'EV (Tiến độ lũy kế)'!H5*SUM('PV (Kế hoạch)'!$D5:$AA5)-SUM($D5:G5)</f>
        <v>3.04</v>
      </c>
      <c r="I5" s="2">
        <f>'EV (Tiến độ lũy kế)'!I5*SUM('PV (Kế hoạch)'!$D5:$AA5)-SUM($D5:H5)</f>
        <v>2.96</v>
      </c>
      <c r="J5" s="2">
        <f>'EV (Tiến độ lũy kế)'!J5*SUM('PV (Kế hoạch)'!$D5:$AA5)-SUM($D5:I5)</f>
        <v>0</v>
      </c>
      <c r="K5" s="2">
        <f>'EV (Tiến độ lũy kế)'!K5*SUM('PV (Kế hoạch)'!$D5:$AA5)-SUM($D5:J5)</f>
        <v>0</v>
      </c>
      <c r="L5" s="2">
        <f>'EV (Tiến độ lũy kế)'!L5*SUM('PV (Kế hoạch)'!$D5:$AA5)-SUM($D5:K5)</f>
        <v>0</v>
      </c>
      <c r="M5" s="2">
        <f>'EV (Tiến độ lũy kế)'!M5*SUM('PV (Kế hoạch)'!$D5:$AA5)-SUM($D5:L5)</f>
        <v>0</v>
      </c>
      <c r="N5" s="2">
        <f>'EV (Tiến độ lũy kế)'!N5*SUM('PV (Kế hoạch)'!$D5:$AA5)-SUM($D5:M5)</f>
        <v>0</v>
      </c>
      <c r="O5" s="2">
        <f>'EV (Tiến độ lũy kế)'!O5*SUM('PV (Kế hoạch)'!$D5:$AA5)-SUM($D5:N5)</f>
        <v>0</v>
      </c>
      <c r="P5" s="2">
        <f>'EV (Tiến độ lũy kế)'!P5*SUM('PV (Kế hoạch)'!$D5:$AA5)-SUM($D5:O5)</f>
        <v>0</v>
      </c>
      <c r="Q5" s="2">
        <f>'EV (Tiến độ lũy kế)'!Q5*SUM('PV (Kế hoạch)'!$D5:$AA5)-SUM($D5:P5)</f>
        <v>0</v>
      </c>
      <c r="R5" s="2">
        <f>'EV (Tiến độ lũy kế)'!R5*SUM('PV (Kế hoạch)'!$D5:$AA5)-SUM($D5:Q5)</f>
        <v>0</v>
      </c>
      <c r="S5" s="2">
        <f>'EV (Tiến độ lũy kế)'!S5*SUM('PV (Kế hoạch)'!$D5:$AA5)-SUM($D5:R5)</f>
        <v>0</v>
      </c>
      <c r="T5" s="2">
        <f>'EV (Tiến độ lũy kế)'!T5*SUM('PV (Kế hoạch)'!$D5:$AA5)-SUM($D5:S5)</f>
        <v>0</v>
      </c>
      <c r="U5" s="2">
        <f>'EV (Tiến độ lũy kế)'!U5*SUM('PV (Kế hoạch)'!$D5:$AA5)-SUM($D5:T5)</f>
        <v>0</v>
      </c>
      <c r="V5" s="2">
        <f>'EV (Tiến độ lũy kế)'!V5*SUM('PV (Kế hoạch)'!$D5:$AA5)-SUM($D5:U5)</f>
        <v>0</v>
      </c>
      <c r="W5" s="2">
        <f>'EV (Tiến độ lũy kế)'!W5*SUM('PV (Kế hoạch)'!$D5:$AA5)-SUM($D5:V5)</f>
        <v>0</v>
      </c>
      <c r="X5" s="2">
        <f>'EV (Tiến độ lũy kế)'!X5*SUM('PV (Kế hoạch)'!$D5:$AA5)-SUM($D5:W5)</f>
        <v>0</v>
      </c>
      <c r="Y5" s="2">
        <f>'EV (Tiến độ lũy kế)'!Y5*SUM('PV (Kế hoạch)'!$D5:$AA5)-SUM($D5:X5)</f>
        <v>0</v>
      </c>
      <c r="Z5" s="2">
        <f>'EV (Tiến độ lũy kế)'!Z5*SUM('PV (Kế hoạch)'!$D5:$AA5)-SUM($D5:Y5)</f>
        <v>0</v>
      </c>
      <c r="AA5" s="2">
        <f>'EV (Tiến độ lũy kế)'!AA5*SUM('PV (Kế hoạch)'!$D5:$AA5)-SUM($D5:Z5)</f>
        <v>0</v>
      </c>
      <c r="AB5" s="5">
        <f t="shared" si="0"/>
        <v>8</v>
      </c>
    </row>
    <row r="6" spans="2:28" ht="21.95" customHeight="1">
      <c r="B6" s="2">
        <f>IF('PV (Kế hoạch)'!B6="","",'PV (Kế hoạch)'!B6)</f>
        <v>4</v>
      </c>
      <c r="C6" s="3" t="str">
        <f>IF('PV (Kế hoạch)'!C6="","",'PV (Kế hoạch)'!C6)</f>
        <v>Thiết kế UI/UX</v>
      </c>
      <c r="D6" s="2">
        <f>'EV (Tiến độ lũy kế)'!D6*SUM('PV (Kế hoạch)'!$D6:$AA6)</f>
        <v>0</v>
      </c>
      <c r="E6" s="2">
        <f>'EV (Tiến độ lũy kế)'!E6*SUM('PV (Kế hoạch)'!$D6:$AA6)-SUM($D6:D6)</f>
        <v>0</v>
      </c>
      <c r="F6" s="2">
        <f>'EV (Tiến độ lũy kế)'!F6*SUM('PV (Kế hoạch)'!$D6:$AA6)-SUM($D6:E6)</f>
        <v>0</v>
      </c>
      <c r="G6" s="2">
        <f>'EV (Tiến độ lũy kế)'!G6*SUM('PV (Kế hoạch)'!$D6:$AA6)-SUM($D6:F6)</f>
        <v>2</v>
      </c>
      <c r="H6" s="2">
        <f>'EV (Tiến độ lũy kế)'!H6*SUM('PV (Kế hoạch)'!$D6:$AA6)-SUM($D6:G6)</f>
        <v>3</v>
      </c>
      <c r="I6" s="2">
        <f>'EV (Tiến độ lũy kế)'!I6*SUM('PV (Kế hoạch)'!$D6:$AA6)-SUM($D6:H6)</f>
        <v>3</v>
      </c>
      <c r="J6" s="2">
        <f>'EV (Tiến độ lũy kế)'!J6*SUM('PV (Kế hoạch)'!$D6:$AA6)-SUM($D6:I6)</f>
        <v>2</v>
      </c>
      <c r="K6" s="2">
        <f>'EV (Tiến độ lũy kế)'!K6*SUM('PV (Kế hoạch)'!$D6:$AA6)-SUM($D6:J6)</f>
        <v>0</v>
      </c>
      <c r="L6" s="2">
        <f>'EV (Tiến độ lũy kế)'!L6*SUM('PV (Kế hoạch)'!$D6:$AA6)-SUM($D6:K6)</f>
        <v>0</v>
      </c>
      <c r="M6" s="2">
        <f>'EV (Tiến độ lũy kế)'!M6*SUM('PV (Kế hoạch)'!$D6:$AA6)-SUM($D6:L6)</f>
        <v>0</v>
      </c>
      <c r="N6" s="2">
        <f>'EV (Tiến độ lũy kế)'!N6*SUM('PV (Kế hoạch)'!$D6:$AA6)-SUM($D6:M6)</f>
        <v>0</v>
      </c>
      <c r="O6" s="2">
        <f>'EV (Tiến độ lũy kế)'!O6*SUM('PV (Kế hoạch)'!$D6:$AA6)-SUM($D6:N6)</f>
        <v>0</v>
      </c>
      <c r="P6" s="2">
        <f>'EV (Tiến độ lũy kế)'!P6*SUM('PV (Kế hoạch)'!$D6:$AA6)-SUM($D6:O6)</f>
        <v>0</v>
      </c>
      <c r="Q6" s="2">
        <f>'EV (Tiến độ lũy kế)'!Q6*SUM('PV (Kế hoạch)'!$D6:$AA6)-SUM($D6:P6)</f>
        <v>0</v>
      </c>
      <c r="R6" s="2">
        <f>'EV (Tiến độ lũy kế)'!R6*SUM('PV (Kế hoạch)'!$D6:$AA6)-SUM($D6:Q6)</f>
        <v>0</v>
      </c>
      <c r="S6" s="2">
        <f>'EV (Tiến độ lũy kế)'!S6*SUM('PV (Kế hoạch)'!$D6:$AA6)-SUM($D6:R6)</f>
        <v>0</v>
      </c>
      <c r="T6" s="2">
        <f>'EV (Tiến độ lũy kế)'!T6*SUM('PV (Kế hoạch)'!$D6:$AA6)-SUM($D6:S6)</f>
        <v>0</v>
      </c>
      <c r="U6" s="2">
        <f>'EV (Tiến độ lũy kế)'!U6*SUM('PV (Kế hoạch)'!$D6:$AA6)-SUM($D6:T6)</f>
        <v>0</v>
      </c>
      <c r="V6" s="2">
        <f>'EV (Tiến độ lũy kế)'!V6*SUM('PV (Kế hoạch)'!$D6:$AA6)-SUM($D6:U6)</f>
        <v>0</v>
      </c>
      <c r="W6" s="2">
        <f>'EV (Tiến độ lũy kế)'!W6*SUM('PV (Kế hoạch)'!$D6:$AA6)-SUM($D6:V6)</f>
        <v>0</v>
      </c>
      <c r="X6" s="2">
        <f>'EV (Tiến độ lũy kế)'!X6*SUM('PV (Kế hoạch)'!$D6:$AA6)-SUM($D6:W6)</f>
        <v>0</v>
      </c>
      <c r="Y6" s="2">
        <f>'EV (Tiến độ lũy kế)'!Y6*SUM('PV (Kế hoạch)'!$D6:$AA6)-SUM($D6:X6)</f>
        <v>0</v>
      </c>
      <c r="Z6" s="2">
        <f>'EV (Tiến độ lũy kế)'!Z6*SUM('PV (Kế hoạch)'!$D6:$AA6)-SUM($D6:Y6)</f>
        <v>0</v>
      </c>
      <c r="AA6" s="2">
        <f>'EV (Tiến độ lũy kế)'!AA6*SUM('PV (Kế hoạch)'!$D6:$AA6)-SUM($D6:Z6)</f>
        <v>0</v>
      </c>
      <c r="AB6" s="5">
        <f t="shared" si="0"/>
        <v>10</v>
      </c>
    </row>
    <row r="7" spans="2:28" ht="21.95" customHeight="1">
      <c r="B7" s="2">
        <f>IF('PV (Kế hoạch)'!B7="","",'PV (Kế hoạch)'!B7)</f>
        <v>5</v>
      </c>
      <c r="C7" s="3" t="str">
        <f>IF('PV (Kế hoạch)'!C7="","",'PV (Kế hoạch)'!C7)</f>
        <v>Phát triển Backend - Module User</v>
      </c>
      <c r="D7" s="2">
        <f>'EV (Tiến độ lũy kế)'!D7*SUM('PV (Kế hoạch)'!$D7:$AA7)</f>
        <v>0</v>
      </c>
      <c r="E7" s="2">
        <f>'EV (Tiến độ lũy kế)'!E7*SUM('PV (Kế hoạch)'!$D7:$AA7)-SUM($D7:D7)</f>
        <v>0</v>
      </c>
      <c r="F7" s="2">
        <f>'EV (Tiến độ lũy kế)'!F7*SUM('PV (Kế hoạch)'!$D7:$AA7)-SUM($D7:E7)</f>
        <v>0</v>
      </c>
      <c r="G7" s="2">
        <f>'EV (Tiến độ lũy kế)'!G7*SUM('PV (Kế hoạch)'!$D7:$AA7)-SUM($D7:F7)</f>
        <v>0</v>
      </c>
      <c r="H7" s="2">
        <f>'EV (Tiến độ lũy kế)'!H7*SUM('PV (Kế hoạch)'!$D7:$AA7)-SUM($D7:G7)</f>
        <v>0</v>
      </c>
      <c r="I7" s="2">
        <f>'EV (Tiến độ lũy kế)'!I7*SUM('PV (Kế hoạch)'!$D7:$AA7)-SUM($D7:H7)</f>
        <v>2</v>
      </c>
      <c r="J7" s="2">
        <f>'EV (Tiến độ lũy kế)'!J7*SUM('PV (Kế hoạch)'!$D7:$AA7)-SUM($D7:I7)</f>
        <v>5</v>
      </c>
      <c r="K7" s="2">
        <f>'EV (Tiến độ lũy kế)'!K7*SUM('PV (Kế hoạch)'!$D7:$AA7)-SUM($D7:J7)</f>
        <v>5</v>
      </c>
      <c r="L7" s="2">
        <f>'EV (Tiến độ lũy kế)'!L7*SUM('PV (Kế hoạch)'!$D7:$AA7)-SUM($D7:K7)</f>
        <v>5</v>
      </c>
      <c r="M7" s="2">
        <f>'EV (Tiến độ lũy kế)'!M7*SUM('PV (Kế hoạch)'!$D7:$AA7)-SUM($D7:L7)</f>
        <v>3</v>
      </c>
      <c r="N7" s="2">
        <f>'EV (Tiến độ lũy kế)'!N7*SUM('PV (Kế hoạch)'!$D7:$AA7)-SUM($D7:M7)</f>
        <v>0</v>
      </c>
      <c r="O7" s="2">
        <f>'EV (Tiến độ lũy kế)'!O7*SUM('PV (Kế hoạch)'!$D7:$AA7)-SUM($D7:N7)</f>
        <v>0</v>
      </c>
      <c r="P7" s="2">
        <f>'EV (Tiến độ lũy kế)'!P7*SUM('PV (Kế hoạch)'!$D7:$AA7)-SUM($D7:O7)</f>
        <v>0</v>
      </c>
      <c r="Q7" s="2">
        <f>'EV (Tiến độ lũy kế)'!Q7*SUM('PV (Kế hoạch)'!$D7:$AA7)-SUM($D7:P7)</f>
        <v>0</v>
      </c>
      <c r="R7" s="2">
        <f>'EV (Tiến độ lũy kế)'!R7*SUM('PV (Kế hoạch)'!$D7:$AA7)-SUM($D7:Q7)</f>
        <v>0</v>
      </c>
      <c r="S7" s="2">
        <f>'EV (Tiến độ lũy kế)'!S7*SUM('PV (Kế hoạch)'!$D7:$AA7)-SUM($D7:R7)</f>
        <v>0</v>
      </c>
      <c r="T7" s="2">
        <f>'EV (Tiến độ lũy kế)'!T7*SUM('PV (Kế hoạch)'!$D7:$AA7)-SUM($D7:S7)</f>
        <v>0</v>
      </c>
      <c r="U7" s="2">
        <f>'EV (Tiến độ lũy kế)'!U7*SUM('PV (Kế hoạch)'!$D7:$AA7)-SUM($D7:T7)</f>
        <v>0</v>
      </c>
      <c r="V7" s="2">
        <f>'EV (Tiến độ lũy kế)'!V7*SUM('PV (Kế hoạch)'!$D7:$AA7)-SUM($D7:U7)</f>
        <v>0</v>
      </c>
      <c r="W7" s="2">
        <f>'EV (Tiến độ lũy kế)'!W7*SUM('PV (Kế hoạch)'!$D7:$AA7)-SUM($D7:V7)</f>
        <v>0</v>
      </c>
      <c r="X7" s="2">
        <f>'EV (Tiến độ lũy kế)'!X7*SUM('PV (Kế hoạch)'!$D7:$AA7)-SUM($D7:W7)</f>
        <v>0</v>
      </c>
      <c r="Y7" s="2">
        <f>'EV (Tiến độ lũy kế)'!Y7*SUM('PV (Kế hoạch)'!$D7:$AA7)-SUM($D7:X7)</f>
        <v>0</v>
      </c>
      <c r="Z7" s="2">
        <f>'EV (Tiến độ lũy kế)'!Z7*SUM('PV (Kế hoạch)'!$D7:$AA7)-SUM($D7:Y7)</f>
        <v>0</v>
      </c>
      <c r="AA7" s="2">
        <f>'EV (Tiến độ lũy kế)'!AA7*SUM('PV (Kế hoạch)'!$D7:$AA7)-SUM($D7:Z7)</f>
        <v>0</v>
      </c>
      <c r="AB7" s="5">
        <f t="shared" si="0"/>
        <v>20</v>
      </c>
    </row>
    <row r="8" spans="2:28" ht="21.95" customHeight="1">
      <c r="B8" s="2">
        <f>IF('PV (Kế hoạch)'!B8="","",'PV (Kế hoạch)'!B8)</f>
        <v>6</v>
      </c>
      <c r="C8" s="3" t="str">
        <f>IF('PV (Kế hoạch)'!C8="","",'PV (Kế hoạch)'!C8)</f>
        <v>Phát triển Backend - Module Order</v>
      </c>
      <c r="D8" s="2">
        <f>'EV (Tiến độ lũy kế)'!D8*SUM('PV (Kế hoạch)'!$D8:$AA8)</f>
        <v>0</v>
      </c>
      <c r="E8" s="2">
        <f>'EV (Tiến độ lũy kế)'!E8*SUM('PV (Kế hoạch)'!$D8:$AA8)-SUM($D8:D8)</f>
        <v>0</v>
      </c>
      <c r="F8" s="2">
        <f>'EV (Tiến độ lũy kế)'!F8*SUM('PV (Kế hoạch)'!$D8:$AA8)-SUM($D8:E8)</f>
        <v>0</v>
      </c>
      <c r="G8" s="2">
        <f>'EV (Tiến độ lũy kế)'!G8*SUM('PV (Kế hoạch)'!$D8:$AA8)-SUM($D8:F8)</f>
        <v>0</v>
      </c>
      <c r="H8" s="2">
        <f>'EV (Tiến độ lũy kế)'!H8*SUM('PV (Kế hoạch)'!$D8:$AA8)-SUM($D8:G8)</f>
        <v>0</v>
      </c>
      <c r="I8" s="2">
        <f>'EV (Tiến độ lũy kế)'!I8*SUM('PV (Kế hoạch)'!$D8:$AA8)-SUM($D8:H8)</f>
        <v>0</v>
      </c>
      <c r="J8" s="2">
        <f>'EV (Tiến độ lũy kế)'!J8*SUM('PV (Kế hoạch)'!$D8:$AA8)-SUM($D8:I8)</f>
        <v>0</v>
      </c>
      <c r="K8" s="2">
        <f>'EV (Tiến độ lũy kế)'!K8*SUM('PV (Kế hoạch)'!$D8:$AA8)-SUM($D8:J8)</f>
        <v>2</v>
      </c>
      <c r="L8" s="2">
        <f>'EV (Tiến độ lũy kế)'!L8*SUM('PV (Kế hoạch)'!$D8:$AA8)-SUM($D8:K8)</f>
        <v>5</v>
      </c>
      <c r="M8" s="2">
        <f>'EV (Tiến độ lũy kế)'!M8*SUM('PV (Kế hoạch)'!$D8:$AA8)-SUM($D8:L8)</f>
        <v>5</v>
      </c>
      <c r="N8" s="2">
        <f>'EV (Tiến độ lũy kế)'!N8*SUM('PV (Kế hoạch)'!$D8:$AA8)-SUM($D8:M8)</f>
        <v>5</v>
      </c>
      <c r="O8" s="2">
        <f>'EV (Tiến độ lũy kế)'!O8*SUM('PV (Kế hoạch)'!$D8:$AA8)-SUM($D8:N8)</f>
        <v>3</v>
      </c>
      <c r="P8" s="2">
        <f>'EV (Tiến độ lũy kế)'!P8*SUM('PV (Kế hoạch)'!$D8:$AA8)-SUM($D8:O8)</f>
        <v>0</v>
      </c>
      <c r="Q8" s="2">
        <f>'EV (Tiến độ lũy kế)'!Q8*SUM('PV (Kế hoạch)'!$D8:$AA8)-SUM($D8:P8)</f>
        <v>0</v>
      </c>
      <c r="R8" s="2">
        <f>'EV (Tiến độ lũy kế)'!R8*SUM('PV (Kế hoạch)'!$D8:$AA8)-SUM($D8:Q8)</f>
        <v>0</v>
      </c>
      <c r="S8" s="2">
        <f>'EV (Tiến độ lũy kế)'!S8*SUM('PV (Kế hoạch)'!$D8:$AA8)-SUM($D8:R8)</f>
        <v>0</v>
      </c>
      <c r="T8" s="2">
        <f>'EV (Tiến độ lũy kế)'!T8*SUM('PV (Kế hoạch)'!$D8:$AA8)-SUM($D8:S8)</f>
        <v>0</v>
      </c>
      <c r="U8" s="2">
        <f>'EV (Tiến độ lũy kế)'!U8*SUM('PV (Kế hoạch)'!$D8:$AA8)-SUM($D8:T8)</f>
        <v>0</v>
      </c>
      <c r="V8" s="2">
        <f>'EV (Tiến độ lũy kế)'!V8*SUM('PV (Kế hoạch)'!$D8:$AA8)-SUM($D8:U8)</f>
        <v>0</v>
      </c>
      <c r="W8" s="2">
        <f>'EV (Tiến độ lũy kế)'!W8*SUM('PV (Kế hoạch)'!$D8:$AA8)-SUM($D8:V8)</f>
        <v>0</v>
      </c>
      <c r="X8" s="2">
        <f>'EV (Tiến độ lũy kế)'!X8*SUM('PV (Kế hoạch)'!$D8:$AA8)-SUM($D8:W8)</f>
        <v>0</v>
      </c>
      <c r="Y8" s="2">
        <f>'EV (Tiến độ lũy kế)'!Y8*SUM('PV (Kế hoạch)'!$D8:$AA8)-SUM($D8:X8)</f>
        <v>0</v>
      </c>
      <c r="Z8" s="2">
        <f>'EV (Tiến độ lũy kế)'!Z8*SUM('PV (Kế hoạch)'!$D8:$AA8)-SUM($D8:Y8)</f>
        <v>0</v>
      </c>
      <c r="AA8" s="2">
        <f>'EV (Tiến độ lũy kế)'!AA8*SUM('PV (Kế hoạch)'!$D8:$AA8)-SUM($D8:Z8)</f>
        <v>0</v>
      </c>
      <c r="AB8" s="5">
        <f t="shared" si="0"/>
        <v>20</v>
      </c>
    </row>
    <row r="9" spans="2:28" ht="21.95" customHeight="1">
      <c r="B9" s="2">
        <f>IF('PV (Kế hoạch)'!B9="","",'PV (Kế hoạch)'!B9)</f>
        <v>7</v>
      </c>
      <c r="C9" s="3" t="str">
        <f>IF('PV (Kế hoạch)'!C9="","",'PV (Kế hoạch)'!C9)</f>
        <v>Phát triển Backend - Module Payment</v>
      </c>
      <c r="D9" s="2">
        <f>'EV (Tiến độ lũy kế)'!D9*SUM('PV (Kế hoạch)'!$D9:$AA9)</f>
        <v>0</v>
      </c>
      <c r="E9" s="2">
        <f>'EV (Tiến độ lũy kế)'!E9*SUM('PV (Kế hoạch)'!$D9:$AA9)-SUM($D9:D9)</f>
        <v>0</v>
      </c>
      <c r="F9" s="2">
        <f>'EV (Tiến độ lũy kế)'!F9*SUM('PV (Kế hoạch)'!$D9:$AA9)-SUM($D9:E9)</f>
        <v>0</v>
      </c>
      <c r="G9" s="2">
        <f>'EV (Tiến độ lũy kế)'!G9*SUM('PV (Kế hoạch)'!$D9:$AA9)-SUM($D9:F9)</f>
        <v>0</v>
      </c>
      <c r="H9" s="2">
        <f>'EV (Tiến độ lũy kế)'!H9*SUM('PV (Kế hoạch)'!$D9:$AA9)-SUM($D9:G9)</f>
        <v>0</v>
      </c>
      <c r="I9" s="2">
        <f>'EV (Tiến độ lũy kế)'!I9*SUM('PV (Kế hoạch)'!$D9:$AA9)-SUM($D9:H9)</f>
        <v>0</v>
      </c>
      <c r="J9" s="2">
        <f>'EV (Tiến độ lũy kế)'!J9*SUM('PV (Kế hoạch)'!$D9:$AA9)-SUM($D9:I9)</f>
        <v>0</v>
      </c>
      <c r="K9" s="2">
        <f>'EV (Tiến độ lũy kế)'!K9*SUM('PV (Kế hoạch)'!$D9:$AA9)-SUM($D9:J9)</f>
        <v>0</v>
      </c>
      <c r="L9" s="2">
        <f>'EV (Tiến độ lũy kế)'!L9*SUM('PV (Kế hoạch)'!$D9:$AA9)-SUM($D9:K9)</f>
        <v>0</v>
      </c>
      <c r="M9" s="2">
        <f>'EV (Tiến độ lũy kế)'!M9*SUM('PV (Kế hoạch)'!$D9:$AA9)-SUM($D9:L9)</f>
        <v>2.04</v>
      </c>
      <c r="N9" s="2">
        <f>'EV (Tiến độ lũy kế)'!N9*SUM('PV (Kế hoạch)'!$D9:$AA9)-SUM($D9:M9)</f>
        <v>4.93</v>
      </c>
      <c r="O9" s="2">
        <f>'EV (Tiến độ lũy kế)'!O9*SUM('PV (Kế hoạch)'!$D9:$AA9)-SUM($D9:N9)</f>
        <v>5.1000000000000005</v>
      </c>
      <c r="P9" s="2">
        <f>'EV (Tiến độ lũy kế)'!P9*SUM('PV (Kế hoạch)'!$D9:$AA9)-SUM($D9:O9)</f>
        <v>4.93</v>
      </c>
      <c r="Q9" s="2">
        <f>'EV (Tiến độ lũy kế)'!Q9*SUM('PV (Kế hoạch)'!$D9:$AA9)-SUM($D9:P9)</f>
        <v>0</v>
      </c>
      <c r="R9" s="2">
        <f>'EV (Tiến độ lũy kế)'!R9*SUM('PV (Kế hoạch)'!$D9:$AA9)-SUM($D9:Q9)</f>
        <v>0</v>
      </c>
      <c r="S9" s="2">
        <f>'EV (Tiến độ lũy kế)'!S9*SUM('PV (Kế hoạch)'!$D9:$AA9)-SUM($D9:R9)</f>
        <v>0</v>
      </c>
      <c r="T9" s="2">
        <f>'EV (Tiến độ lũy kế)'!T9*SUM('PV (Kế hoạch)'!$D9:$AA9)-SUM($D9:S9)</f>
        <v>0</v>
      </c>
      <c r="U9" s="2">
        <f>'EV (Tiến độ lũy kế)'!U9*SUM('PV (Kế hoạch)'!$D9:$AA9)-SUM($D9:T9)</f>
        <v>0</v>
      </c>
      <c r="V9" s="2">
        <f>'EV (Tiến độ lũy kế)'!V9*SUM('PV (Kế hoạch)'!$D9:$AA9)-SUM($D9:U9)</f>
        <v>0</v>
      </c>
      <c r="W9" s="2">
        <f>'EV (Tiến độ lũy kế)'!W9*SUM('PV (Kế hoạch)'!$D9:$AA9)-SUM($D9:V9)</f>
        <v>0</v>
      </c>
      <c r="X9" s="2">
        <f>'EV (Tiến độ lũy kế)'!X9*SUM('PV (Kế hoạch)'!$D9:$AA9)-SUM($D9:W9)</f>
        <v>0</v>
      </c>
      <c r="Y9" s="2">
        <f>'EV (Tiến độ lũy kế)'!Y9*SUM('PV (Kế hoạch)'!$D9:$AA9)-SUM($D9:X9)</f>
        <v>0</v>
      </c>
      <c r="Z9" s="2">
        <f>'EV (Tiến độ lũy kế)'!Z9*SUM('PV (Kế hoạch)'!$D9:$AA9)-SUM($D9:Y9)</f>
        <v>0</v>
      </c>
      <c r="AA9" s="2">
        <f>'EV (Tiến độ lũy kế)'!AA9*SUM('PV (Kế hoạch)'!$D9:$AA9)-SUM($D9:Z9)</f>
        <v>0</v>
      </c>
      <c r="AB9" s="5">
        <f t="shared" si="0"/>
        <v>17</v>
      </c>
    </row>
    <row r="10" spans="2:28" ht="21.95" customHeight="1">
      <c r="B10" s="2">
        <f>IF('PV (Kế hoạch)'!B10="","",'PV (Kế hoạch)'!B10)</f>
        <v>8</v>
      </c>
      <c r="C10" s="3" t="str">
        <f>IF('PV (Kế hoạch)'!C10="","",'PV (Kế hoạch)'!C10)</f>
        <v>Phát triển Backend - Module Report</v>
      </c>
      <c r="D10" s="2">
        <f>'EV (Tiến độ lũy kế)'!D10*SUM('PV (Kế hoạch)'!$D10:$AA10)</f>
        <v>0</v>
      </c>
      <c r="E10" s="2">
        <f>'EV (Tiến độ lũy kế)'!E10*SUM('PV (Kế hoạch)'!$D10:$AA10)-SUM($D10:D10)</f>
        <v>0</v>
      </c>
      <c r="F10" s="2">
        <f>'EV (Tiến độ lũy kế)'!F10*SUM('PV (Kế hoạch)'!$D10:$AA10)-SUM($D10:E10)</f>
        <v>0</v>
      </c>
      <c r="G10" s="2">
        <f>'EV (Tiến độ lũy kế)'!G10*SUM('PV (Kế hoạch)'!$D10:$AA10)-SUM($D10:F10)</f>
        <v>0</v>
      </c>
      <c r="H10" s="2">
        <f>'EV (Tiến độ lũy kế)'!H10*SUM('PV (Kế hoạch)'!$D10:$AA10)-SUM($D10:G10)</f>
        <v>0</v>
      </c>
      <c r="I10" s="2">
        <f>'EV (Tiến độ lũy kế)'!I10*SUM('PV (Kế hoạch)'!$D10:$AA10)-SUM($D10:H10)</f>
        <v>0</v>
      </c>
      <c r="J10" s="2">
        <f>'EV (Tiến độ lũy kế)'!J10*SUM('PV (Kế hoạch)'!$D10:$AA10)-SUM($D10:I10)</f>
        <v>0</v>
      </c>
      <c r="K10" s="2">
        <f>'EV (Tiến độ lũy kế)'!K10*SUM('PV (Kế hoạch)'!$D10:$AA10)-SUM($D10:J10)</f>
        <v>0</v>
      </c>
      <c r="L10" s="2">
        <f>'EV (Tiến độ lũy kế)'!L10*SUM('PV (Kế hoạch)'!$D10:$AA10)-SUM($D10:K10)</f>
        <v>0</v>
      </c>
      <c r="M10" s="2">
        <f>'EV (Tiến độ lũy kế)'!M10*SUM('PV (Kế hoạch)'!$D10:$AA10)-SUM($D10:L10)</f>
        <v>0</v>
      </c>
      <c r="N10" s="2">
        <f>'EV (Tiến độ lũy kế)'!N10*SUM('PV (Kế hoạch)'!$D10:$AA10)-SUM($D10:M10)</f>
        <v>0</v>
      </c>
      <c r="O10" s="2">
        <f>'EV (Tiến độ lũy kế)'!O10*SUM('PV (Kế hoạch)'!$D10:$AA10)-SUM($D10:N10)</f>
        <v>1.9500000000000002</v>
      </c>
      <c r="P10" s="2">
        <f>'EV (Tiến độ lũy kế)'!P10*SUM('PV (Kế hoạch)'!$D10:$AA10)-SUM($D10:O10)</f>
        <v>5.0999999999999996</v>
      </c>
      <c r="Q10" s="2">
        <f>'EV (Tiến độ lũy kế)'!Q10*SUM('PV (Kế hoạch)'!$D10:$AA10)-SUM($D10:P10)</f>
        <v>4.95</v>
      </c>
      <c r="R10" s="2">
        <f>'EV (Tiến độ lũy kế)'!R10*SUM('PV (Kế hoạch)'!$D10:$AA10)-SUM($D10:Q10)</f>
        <v>3</v>
      </c>
      <c r="S10" s="2">
        <f>'EV (Tiến độ lũy kế)'!S10*SUM('PV (Kế hoạch)'!$D10:$AA10)-SUM($D10:R10)</f>
        <v>0</v>
      </c>
      <c r="T10" s="2">
        <f>'EV (Tiến độ lũy kế)'!T10*SUM('PV (Kế hoạch)'!$D10:$AA10)-SUM($D10:S10)</f>
        <v>0</v>
      </c>
      <c r="U10" s="2">
        <f>'EV (Tiến độ lũy kế)'!U10*SUM('PV (Kế hoạch)'!$D10:$AA10)-SUM($D10:T10)</f>
        <v>0</v>
      </c>
      <c r="V10" s="2">
        <f>'EV (Tiến độ lũy kế)'!V10*SUM('PV (Kế hoạch)'!$D10:$AA10)-SUM($D10:U10)</f>
        <v>0</v>
      </c>
      <c r="W10" s="2">
        <f>'EV (Tiến độ lũy kế)'!W10*SUM('PV (Kế hoạch)'!$D10:$AA10)-SUM($D10:V10)</f>
        <v>0</v>
      </c>
      <c r="X10" s="2">
        <f>'EV (Tiến độ lũy kế)'!X10*SUM('PV (Kế hoạch)'!$D10:$AA10)-SUM($D10:W10)</f>
        <v>0</v>
      </c>
      <c r="Y10" s="2">
        <f>'EV (Tiến độ lũy kế)'!Y10*SUM('PV (Kế hoạch)'!$D10:$AA10)-SUM($D10:X10)</f>
        <v>0</v>
      </c>
      <c r="Z10" s="2">
        <f>'EV (Tiến độ lũy kế)'!Z10*SUM('PV (Kế hoạch)'!$D10:$AA10)-SUM($D10:Y10)</f>
        <v>0</v>
      </c>
      <c r="AA10" s="2">
        <f>'EV (Tiến độ lũy kế)'!AA10*SUM('PV (Kế hoạch)'!$D10:$AA10)-SUM($D10:Z10)</f>
        <v>0</v>
      </c>
      <c r="AB10" s="5">
        <f t="shared" si="0"/>
        <v>15</v>
      </c>
    </row>
    <row r="11" spans="2:28" ht="21.95" customHeight="1">
      <c r="B11" s="2">
        <f>IF('PV (Kế hoạch)'!B11="","",'PV (Kế hoạch)'!B11)</f>
        <v>9</v>
      </c>
      <c r="C11" s="3" t="str">
        <f>IF('PV (Kế hoạch)'!C11="","",'PV (Kế hoạch)'!C11)</f>
        <v>Phát triển Frontend - Trang chủ</v>
      </c>
      <c r="D11" s="2">
        <f>'EV (Tiến độ lũy kế)'!D11*SUM('PV (Kế hoạch)'!$D11:$AA11)</f>
        <v>0</v>
      </c>
      <c r="E11" s="2">
        <f>'EV (Tiến độ lũy kế)'!E11*SUM('PV (Kế hoạch)'!$D11:$AA11)-SUM($D11:D11)</f>
        <v>0</v>
      </c>
      <c r="F11" s="2">
        <f>'EV (Tiến độ lũy kế)'!F11*SUM('PV (Kế hoạch)'!$D11:$AA11)-SUM($D11:E11)</f>
        <v>0</v>
      </c>
      <c r="G11" s="2">
        <f>'EV (Tiến độ lũy kế)'!G11*SUM('PV (Kế hoạch)'!$D11:$AA11)-SUM($D11:F11)</f>
        <v>0</v>
      </c>
      <c r="H11" s="2">
        <f>'EV (Tiến độ lũy kế)'!H11*SUM('PV (Kế hoạch)'!$D11:$AA11)-SUM($D11:G11)</f>
        <v>0</v>
      </c>
      <c r="I11" s="2">
        <f>'EV (Tiến độ lũy kế)'!I11*SUM('PV (Kế hoạch)'!$D11:$AA11)-SUM($D11:H11)</f>
        <v>0</v>
      </c>
      <c r="J11" s="2">
        <f>'EV (Tiến độ lũy kế)'!J11*SUM('PV (Kế hoạch)'!$D11:$AA11)-SUM($D11:I11)</f>
        <v>2</v>
      </c>
      <c r="K11" s="2">
        <f>'EV (Tiến độ lũy kế)'!K11*SUM('PV (Kế hoạch)'!$D11:$AA11)-SUM($D11:J11)</f>
        <v>3.04</v>
      </c>
      <c r="L11" s="2">
        <f>'EV (Tiến độ lũy kế)'!L11*SUM('PV (Kế hoạch)'!$D11:$AA11)-SUM($D11:K11)</f>
        <v>2.96</v>
      </c>
      <c r="M11" s="2">
        <f>'EV (Tiến độ lũy kế)'!M11*SUM('PV (Kế hoạch)'!$D11:$AA11)-SUM($D11:L11)</f>
        <v>0</v>
      </c>
      <c r="N11" s="2">
        <f>'EV (Tiến độ lũy kế)'!N11*SUM('PV (Kế hoạch)'!$D11:$AA11)-SUM($D11:M11)</f>
        <v>0</v>
      </c>
      <c r="O11" s="2">
        <f>'EV (Tiến độ lũy kế)'!O11*SUM('PV (Kế hoạch)'!$D11:$AA11)-SUM($D11:N11)</f>
        <v>0</v>
      </c>
      <c r="P11" s="2">
        <f>'EV (Tiến độ lũy kế)'!P11*SUM('PV (Kế hoạch)'!$D11:$AA11)-SUM($D11:O11)</f>
        <v>0</v>
      </c>
      <c r="Q11" s="2">
        <f>'EV (Tiến độ lũy kế)'!Q11*SUM('PV (Kế hoạch)'!$D11:$AA11)-SUM($D11:P11)</f>
        <v>0</v>
      </c>
      <c r="R11" s="2">
        <f>'EV (Tiến độ lũy kế)'!R11*SUM('PV (Kế hoạch)'!$D11:$AA11)-SUM($D11:Q11)</f>
        <v>0</v>
      </c>
      <c r="S11" s="2">
        <f>'EV (Tiến độ lũy kế)'!S11*SUM('PV (Kế hoạch)'!$D11:$AA11)-SUM($D11:R11)</f>
        <v>0</v>
      </c>
      <c r="T11" s="2">
        <f>'EV (Tiến độ lũy kế)'!T11*SUM('PV (Kế hoạch)'!$D11:$AA11)-SUM($D11:S11)</f>
        <v>0</v>
      </c>
      <c r="U11" s="2">
        <f>'EV (Tiến độ lũy kế)'!U11*SUM('PV (Kế hoạch)'!$D11:$AA11)-SUM($D11:T11)</f>
        <v>0</v>
      </c>
      <c r="V11" s="2">
        <f>'EV (Tiến độ lũy kế)'!V11*SUM('PV (Kế hoạch)'!$D11:$AA11)-SUM($D11:U11)</f>
        <v>0</v>
      </c>
      <c r="W11" s="2">
        <f>'EV (Tiến độ lũy kế)'!W11*SUM('PV (Kế hoạch)'!$D11:$AA11)-SUM($D11:V11)</f>
        <v>0</v>
      </c>
      <c r="X11" s="2">
        <f>'EV (Tiến độ lũy kế)'!X11*SUM('PV (Kế hoạch)'!$D11:$AA11)-SUM($D11:W11)</f>
        <v>0</v>
      </c>
      <c r="Y11" s="2">
        <f>'EV (Tiến độ lũy kế)'!Y11*SUM('PV (Kế hoạch)'!$D11:$AA11)-SUM($D11:X11)</f>
        <v>0</v>
      </c>
      <c r="Z11" s="2">
        <f>'EV (Tiến độ lũy kế)'!Z11*SUM('PV (Kế hoạch)'!$D11:$AA11)-SUM($D11:Y11)</f>
        <v>0</v>
      </c>
      <c r="AA11" s="2">
        <f>'EV (Tiến độ lũy kế)'!AA11*SUM('PV (Kế hoạch)'!$D11:$AA11)-SUM($D11:Z11)</f>
        <v>0</v>
      </c>
      <c r="AB11" s="5">
        <f t="shared" si="0"/>
        <v>8</v>
      </c>
    </row>
    <row r="12" spans="2:28" ht="21.95" customHeight="1">
      <c r="B12" s="2">
        <f>IF('PV (Kế hoạch)'!B12="","",'PV (Kế hoạch)'!B12)</f>
        <v>10</v>
      </c>
      <c r="C12" s="3" t="str">
        <f>IF('PV (Kế hoạch)'!C12="","",'PV (Kế hoạch)'!C12)</f>
        <v>Phát triển Frontend - Module User</v>
      </c>
      <c r="D12" s="2">
        <f>'EV (Tiến độ lũy kế)'!D12*SUM('PV (Kế hoạch)'!$D12:$AA12)</f>
        <v>0</v>
      </c>
      <c r="E12" s="2">
        <f>'EV (Tiến độ lũy kế)'!E12*SUM('PV (Kế hoạch)'!$D12:$AA12)-SUM($D12:D12)</f>
        <v>0</v>
      </c>
      <c r="F12" s="2">
        <f>'EV (Tiến độ lũy kế)'!F12*SUM('PV (Kế hoạch)'!$D12:$AA12)-SUM($D12:E12)</f>
        <v>0</v>
      </c>
      <c r="G12" s="2">
        <f>'EV (Tiến độ lũy kế)'!G12*SUM('PV (Kế hoạch)'!$D12:$AA12)-SUM($D12:F12)</f>
        <v>0</v>
      </c>
      <c r="H12" s="2">
        <f>'EV (Tiến độ lũy kế)'!H12*SUM('PV (Kế hoạch)'!$D12:$AA12)-SUM($D12:G12)</f>
        <v>0</v>
      </c>
      <c r="I12" s="2">
        <f>'EV (Tiến độ lũy kế)'!I12*SUM('PV (Kế hoạch)'!$D12:$AA12)-SUM($D12:H12)</f>
        <v>0</v>
      </c>
      <c r="J12" s="2">
        <f>'EV (Tiến độ lũy kế)'!J12*SUM('PV (Kế hoạch)'!$D12:$AA12)-SUM($D12:I12)</f>
        <v>0</v>
      </c>
      <c r="K12" s="2">
        <f>'EV (Tiến độ lũy kế)'!K12*SUM('PV (Kế hoạch)'!$D12:$AA12)-SUM($D12:J12)</f>
        <v>0</v>
      </c>
      <c r="L12" s="2">
        <f>'EV (Tiến độ lũy kế)'!L12*SUM('PV (Kế hoạch)'!$D12:$AA12)-SUM($D12:K12)</f>
        <v>1.9500000000000002</v>
      </c>
      <c r="M12" s="2">
        <f>'EV (Tiến độ lũy kế)'!M12*SUM('PV (Kế hoạch)'!$D12:$AA12)-SUM($D12:L12)</f>
        <v>5.0999999999999996</v>
      </c>
      <c r="N12" s="2">
        <f>'EV (Tiến độ lũy kế)'!N12*SUM('PV (Kế hoạch)'!$D12:$AA12)-SUM($D12:M12)</f>
        <v>4.95</v>
      </c>
      <c r="O12" s="2">
        <f>'EV (Tiến độ lũy kế)'!O12*SUM('PV (Kế hoạch)'!$D12:$AA12)-SUM($D12:N12)</f>
        <v>3</v>
      </c>
      <c r="P12" s="2">
        <f>'EV (Tiến độ lũy kế)'!P12*SUM('PV (Kế hoạch)'!$D12:$AA12)-SUM($D12:O12)</f>
        <v>0</v>
      </c>
      <c r="Q12" s="2">
        <f>'EV (Tiến độ lũy kế)'!Q12*SUM('PV (Kế hoạch)'!$D12:$AA12)-SUM($D12:P12)</f>
        <v>0</v>
      </c>
      <c r="R12" s="2">
        <f>'EV (Tiến độ lũy kế)'!R12*SUM('PV (Kế hoạch)'!$D12:$AA12)-SUM($D12:Q12)</f>
        <v>0</v>
      </c>
      <c r="S12" s="2">
        <f>'EV (Tiến độ lũy kế)'!S12*SUM('PV (Kế hoạch)'!$D12:$AA12)-SUM($D12:R12)</f>
        <v>0</v>
      </c>
      <c r="T12" s="2">
        <f>'EV (Tiến độ lũy kế)'!T12*SUM('PV (Kế hoạch)'!$D12:$AA12)-SUM($D12:S12)</f>
        <v>0</v>
      </c>
      <c r="U12" s="2">
        <f>'EV (Tiến độ lũy kế)'!U12*SUM('PV (Kế hoạch)'!$D12:$AA12)-SUM($D12:T12)</f>
        <v>0</v>
      </c>
      <c r="V12" s="2">
        <f>'EV (Tiến độ lũy kế)'!V12*SUM('PV (Kế hoạch)'!$D12:$AA12)-SUM($D12:U12)</f>
        <v>0</v>
      </c>
      <c r="W12" s="2">
        <f>'EV (Tiến độ lũy kế)'!W12*SUM('PV (Kế hoạch)'!$D12:$AA12)-SUM($D12:V12)</f>
        <v>0</v>
      </c>
      <c r="X12" s="2">
        <f>'EV (Tiến độ lũy kế)'!X12*SUM('PV (Kế hoạch)'!$D12:$AA12)-SUM($D12:W12)</f>
        <v>0</v>
      </c>
      <c r="Y12" s="2">
        <f>'EV (Tiến độ lũy kế)'!Y12*SUM('PV (Kế hoạch)'!$D12:$AA12)-SUM($D12:X12)</f>
        <v>0</v>
      </c>
      <c r="Z12" s="2">
        <f>'EV (Tiến độ lũy kế)'!Z12*SUM('PV (Kế hoạch)'!$D12:$AA12)-SUM($D12:Y12)</f>
        <v>0</v>
      </c>
      <c r="AA12" s="2">
        <f>'EV (Tiến độ lũy kế)'!AA12*SUM('PV (Kế hoạch)'!$D12:$AA12)-SUM($D12:Z12)</f>
        <v>0</v>
      </c>
      <c r="AB12" s="5">
        <f t="shared" si="0"/>
        <v>15</v>
      </c>
    </row>
    <row r="13" spans="2:28" ht="21.95" customHeight="1">
      <c r="B13" s="2">
        <f>IF('PV (Kế hoạch)'!B13="","",'PV (Kế hoạch)'!B13)</f>
        <v>11</v>
      </c>
      <c r="C13" s="3" t="str">
        <f>IF('PV (Kế hoạch)'!C13="","",'PV (Kế hoạch)'!C13)</f>
        <v>Phát triển Frontend - Module Order</v>
      </c>
      <c r="D13" s="2">
        <f>'EV (Tiến độ lũy kế)'!D13*SUM('PV (Kế hoạch)'!$D13:$AA13)</f>
        <v>0</v>
      </c>
      <c r="E13" s="2">
        <f>'EV (Tiến độ lũy kế)'!E13*SUM('PV (Kế hoạch)'!$D13:$AA13)-SUM($D13:D13)</f>
        <v>0</v>
      </c>
      <c r="F13" s="2">
        <f>'EV (Tiến độ lũy kế)'!F13*SUM('PV (Kế hoạch)'!$D13:$AA13)-SUM($D13:E13)</f>
        <v>0</v>
      </c>
      <c r="G13" s="2">
        <f>'EV (Tiến độ lũy kế)'!G13*SUM('PV (Kế hoạch)'!$D13:$AA13)-SUM($D13:F13)</f>
        <v>0</v>
      </c>
      <c r="H13" s="2">
        <f>'EV (Tiến độ lũy kế)'!H13*SUM('PV (Kế hoạch)'!$D13:$AA13)-SUM($D13:G13)</f>
        <v>0</v>
      </c>
      <c r="I13" s="2">
        <f>'EV (Tiến độ lũy kế)'!I13*SUM('PV (Kế hoạch)'!$D13:$AA13)-SUM($D13:H13)</f>
        <v>0</v>
      </c>
      <c r="J13" s="2">
        <f>'EV (Tiến độ lũy kế)'!J13*SUM('PV (Kế hoạch)'!$D13:$AA13)-SUM($D13:I13)</f>
        <v>0</v>
      </c>
      <c r="K13" s="2">
        <f>'EV (Tiến độ lũy kế)'!K13*SUM('PV (Kế hoạch)'!$D13:$AA13)-SUM($D13:J13)</f>
        <v>0</v>
      </c>
      <c r="L13" s="2">
        <f>'EV (Tiến độ lũy kế)'!L13*SUM('PV (Kế hoạch)'!$D13:$AA13)-SUM($D13:K13)</f>
        <v>0</v>
      </c>
      <c r="M13" s="2">
        <f>'EV (Tiến độ lũy kế)'!M13*SUM('PV (Kế hoạch)'!$D13:$AA13)-SUM($D13:L13)</f>
        <v>0</v>
      </c>
      <c r="N13" s="2">
        <f>'EV (Tiến độ lũy kế)'!N13*SUM('PV (Kế hoạch)'!$D13:$AA13)-SUM($D13:M13)</f>
        <v>1.9500000000000002</v>
      </c>
      <c r="O13" s="2">
        <f>'EV (Tiến độ lũy kế)'!O13*SUM('PV (Kế hoạch)'!$D13:$AA13)-SUM($D13:N13)</f>
        <v>5.0999999999999996</v>
      </c>
      <c r="P13" s="2">
        <f>'EV (Tiến độ lũy kế)'!P13*SUM('PV (Kế hoạch)'!$D13:$AA13)-SUM($D13:O13)</f>
        <v>4.95</v>
      </c>
      <c r="Q13" s="2">
        <f>'EV (Tiến độ lũy kế)'!Q13*SUM('PV (Kế hoạch)'!$D13:$AA13)-SUM($D13:P13)</f>
        <v>3</v>
      </c>
      <c r="R13" s="2">
        <f>'EV (Tiến độ lũy kế)'!R13*SUM('PV (Kế hoạch)'!$D13:$AA13)-SUM($D13:Q13)</f>
        <v>0</v>
      </c>
      <c r="S13" s="2">
        <f>'EV (Tiến độ lũy kế)'!S13*SUM('PV (Kế hoạch)'!$D13:$AA13)-SUM($D13:R13)</f>
        <v>0</v>
      </c>
      <c r="T13" s="2">
        <f>'EV (Tiến độ lũy kế)'!T13*SUM('PV (Kế hoạch)'!$D13:$AA13)-SUM($D13:S13)</f>
        <v>0</v>
      </c>
      <c r="U13" s="2">
        <f>'EV (Tiến độ lũy kế)'!U13*SUM('PV (Kế hoạch)'!$D13:$AA13)-SUM($D13:T13)</f>
        <v>0</v>
      </c>
      <c r="V13" s="2">
        <f>'EV (Tiến độ lũy kế)'!V13*SUM('PV (Kế hoạch)'!$D13:$AA13)-SUM($D13:U13)</f>
        <v>0</v>
      </c>
      <c r="W13" s="2">
        <f>'EV (Tiến độ lũy kế)'!W13*SUM('PV (Kế hoạch)'!$D13:$AA13)-SUM($D13:V13)</f>
        <v>0</v>
      </c>
      <c r="X13" s="2">
        <f>'EV (Tiến độ lũy kế)'!X13*SUM('PV (Kế hoạch)'!$D13:$AA13)-SUM($D13:W13)</f>
        <v>0</v>
      </c>
      <c r="Y13" s="2">
        <f>'EV (Tiến độ lũy kế)'!Y13*SUM('PV (Kế hoạch)'!$D13:$AA13)-SUM($D13:X13)</f>
        <v>0</v>
      </c>
      <c r="Z13" s="2">
        <f>'EV (Tiến độ lũy kế)'!Z13*SUM('PV (Kế hoạch)'!$D13:$AA13)-SUM($D13:Y13)</f>
        <v>0</v>
      </c>
      <c r="AA13" s="2">
        <f>'EV (Tiến độ lũy kế)'!AA13*SUM('PV (Kế hoạch)'!$D13:$AA13)-SUM($D13:Z13)</f>
        <v>0</v>
      </c>
      <c r="AB13" s="5">
        <f t="shared" si="0"/>
        <v>15</v>
      </c>
    </row>
    <row r="14" spans="2:28" ht="21.95" customHeight="1">
      <c r="B14" s="2">
        <f>IF('PV (Kế hoạch)'!B14="","",'PV (Kế hoạch)'!B14)</f>
        <v>12</v>
      </c>
      <c r="C14" s="3" t="str">
        <f>IF('PV (Kế hoạch)'!C14="","",'PV (Kế hoạch)'!C14)</f>
        <v>Phát triển Frontend - Module Payment</v>
      </c>
      <c r="D14" s="2">
        <f>'EV (Tiến độ lũy kế)'!D14*SUM('PV (Kế hoạch)'!$D14:$AA14)</f>
        <v>0</v>
      </c>
      <c r="E14" s="2">
        <f>'EV (Tiến độ lũy kế)'!E14*SUM('PV (Kế hoạch)'!$D14:$AA14)-SUM($D14:D14)</f>
        <v>0</v>
      </c>
      <c r="F14" s="2">
        <f>'EV (Tiến độ lũy kế)'!F14*SUM('PV (Kế hoạch)'!$D14:$AA14)-SUM($D14:E14)</f>
        <v>0</v>
      </c>
      <c r="G14" s="2">
        <f>'EV (Tiến độ lũy kế)'!G14*SUM('PV (Kế hoạch)'!$D14:$AA14)-SUM($D14:F14)</f>
        <v>0</v>
      </c>
      <c r="H14" s="2">
        <f>'EV (Tiến độ lũy kế)'!H14*SUM('PV (Kế hoạch)'!$D14:$AA14)-SUM($D14:G14)</f>
        <v>0</v>
      </c>
      <c r="I14" s="2">
        <f>'EV (Tiến độ lũy kế)'!I14*SUM('PV (Kế hoạch)'!$D14:$AA14)-SUM($D14:H14)</f>
        <v>0</v>
      </c>
      <c r="J14" s="2">
        <f>'EV (Tiến độ lũy kế)'!J14*SUM('PV (Kế hoạch)'!$D14:$AA14)-SUM($D14:I14)</f>
        <v>0</v>
      </c>
      <c r="K14" s="2">
        <f>'EV (Tiến độ lũy kế)'!K14*SUM('PV (Kế hoạch)'!$D14:$AA14)-SUM($D14:J14)</f>
        <v>0</v>
      </c>
      <c r="L14" s="2">
        <f>'EV (Tiến độ lũy kế)'!L14*SUM('PV (Kế hoạch)'!$D14:$AA14)-SUM($D14:K14)</f>
        <v>0</v>
      </c>
      <c r="M14" s="2">
        <f>'EV (Tiến độ lũy kế)'!M14*SUM('PV (Kế hoạch)'!$D14:$AA14)-SUM($D14:L14)</f>
        <v>0</v>
      </c>
      <c r="N14" s="2">
        <f>'EV (Tiến độ lũy kế)'!N14*SUM('PV (Kế hoạch)'!$D14:$AA14)-SUM($D14:M14)</f>
        <v>0</v>
      </c>
      <c r="O14" s="2">
        <f>'EV (Tiến độ lũy kế)'!O14*SUM('PV (Kế hoạch)'!$D14:$AA14)-SUM($D14:N14)</f>
        <v>0</v>
      </c>
      <c r="P14" s="2">
        <f>'EV (Tiến độ lũy kế)'!P14*SUM('PV (Kế hoạch)'!$D14:$AA14)-SUM($D14:O14)</f>
        <v>2.04</v>
      </c>
      <c r="Q14" s="2">
        <f>'EV (Tiến độ lũy kế)'!Q14*SUM('PV (Kế hoạch)'!$D14:$AA14)-SUM($D14:P14)</f>
        <v>4.919999999999999</v>
      </c>
      <c r="R14" s="2">
        <f>'EV (Tiến độ lũy kế)'!R14*SUM('PV (Kế hoạch)'!$D14:$AA14)-SUM($D14:Q14)</f>
        <v>5.0400000000000009</v>
      </c>
      <c r="S14" s="2">
        <f>'EV (Tiến độ lũy kế)'!S14*SUM('PV (Kế hoạch)'!$D14:$AA14)-SUM($D14:R14)</f>
        <v>0</v>
      </c>
      <c r="T14" s="2">
        <f>'EV (Tiến độ lũy kế)'!T14*SUM('PV (Kế hoạch)'!$D14:$AA14)-SUM($D14:S14)</f>
        <v>0</v>
      </c>
      <c r="U14" s="2">
        <f>'EV (Tiến độ lũy kế)'!U14*SUM('PV (Kế hoạch)'!$D14:$AA14)-SUM($D14:T14)</f>
        <v>0</v>
      </c>
      <c r="V14" s="2">
        <f>'EV (Tiến độ lũy kế)'!V14*SUM('PV (Kế hoạch)'!$D14:$AA14)-SUM($D14:U14)</f>
        <v>0</v>
      </c>
      <c r="W14" s="2">
        <f>'EV (Tiến độ lũy kế)'!W14*SUM('PV (Kế hoạch)'!$D14:$AA14)-SUM($D14:V14)</f>
        <v>0</v>
      </c>
      <c r="X14" s="2">
        <f>'EV (Tiến độ lũy kế)'!X14*SUM('PV (Kế hoạch)'!$D14:$AA14)-SUM($D14:W14)</f>
        <v>0</v>
      </c>
      <c r="Y14" s="2">
        <f>'EV (Tiến độ lũy kế)'!Y14*SUM('PV (Kế hoạch)'!$D14:$AA14)-SUM($D14:X14)</f>
        <v>0</v>
      </c>
      <c r="Z14" s="2">
        <f>'EV (Tiến độ lũy kế)'!Z14*SUM('PV (Kế hoạch)'!$D14:$AA14)-SUM($D14:Y14)</f>
        <v>0</v>
      </c>
      <c r="AA14" s="2">
        <f>'EV (Tiến độ lũy kế)'!AA14*SUM('PV (Kế hoạch)'!$D14:$AA14)-SUM($D14:Z14)</f>
        <v>0</v>
      </c>
      <c r="AB14" s="5">
        <f t="shared" si="0"/>
        <v>12</v>
      </c>
    </row>
    <row r="15" spans="2:28" ht="21.95" customHeight="1">
      <c r="B15" s="2">
        <f>IF('PV (Kế hoạch)'!B15="","",'PV (Kế hoạch)'!B15)</f>
        <v>13</v>
      </c>
      <c r="C15" s="3" t="str">
        <f>IF('PV (Kế hoạch)'!C15="","",'PV (Kế hoạch)'!C15)</f>
        <v>Phát triển Frontend - Module Report</v>
      </c>
      <c r="D15" s="2">
        <f>'EV (Tiến độ lũy kế)'!D15*SUM('PV (Kế hoạch)'!$D15:$AA15)</f>
        <v>0</v>
      </c>
      <c r="E15" s="2">
        <f>'EV (Tiến độ lũy kế)'!E15*SUM('PV (Kế hoạch)'!$D15:$AA15)-SUM($D15:D15)</f>
        <v>0</v>
      </c>
      <c r="F15" s="2">
        <f>'EV (Tiến độ lũy kế)'!F15*SUM('PV (Kế hoạch)'!$D15:$AA15)-SUM($D15:E15)</f>
        <v>0</v>
      </c>
      <c r="G15" s="2">
        <f>'EV (Tiến độ lũy kế)'!G15*SUM('PV (Kế hoạch)'!$D15:$AA15)-SUM($D15:F15)</f>
        <v>0</v>
      </c>
      <c r="H15" s="2">
        <f>'EV (Tiến độ lũy kế)'!H15*SUM('PV (Kế hoạch)'!$D15:$AA15)-SUM($D15:G15)</f>
        <v>0</v>
      </c>
      <c r="I15" s="2">
        <f>'EV (Tiến độ lũy kế)'!I15*SUM('PV (Kế hoạch)'!$D15:$AA15)-SUM($D15:H15)</f>
        <v>0</v>
      </c>
      <c r="J15" s="2">
        <f>'EV (Tiến độ lũy kế)'!J15*SUM('PV (Kế hoạch)'!$D15:$AA15)-SUM($D15:I15)</f>
        <v>0</v>
      </c>
      <c r="K15" s="2">
        <f>'EV (Tiến độ lũy kế)'!K15*SUM('PV (Kế hoạch)'!$D15:$AA15)-SUM($D15:J15)</f>
        <v>0</v>
      </c>
      <c r="L15" s="2">
        <f>'EV (Tiến độ lũy kế)'!L15*SUM('PV (Kế hoạch)'!$D15:$AA15)-SUM($D15:K15)</f>
        <v>0</v>
      </c>
      <c r="M15" s="2">
        <f>'EV (Tiến độ lũy kế)'!M15*SUM('PV (Kế hoạch)'!$D15:$AA15)-SUM($D15:L15)</f>
        <v>0</v>
      </c>
      <c r="N15" s="2">
        <f>'EV (Tiến độ lũy kế)'!N15*SUM('PV (Kế hoạch)'!$D15:$AA15)-SUM($D15:M15)</f>
        <v>0</v>
      </c>
      <c r="O15" s="2">
        <f>'EV (Tiến độ lũy kế)'!O15*SUM('PV (Kế hoạch)'!$D15:$AA15)-SUM($D15:N15)</f>
        <v>0</v>
      </c>
      <c r="P15" s="2">
        <f>'EV (Tiến độ lũy kế)'!P15*SUM('PV (Kế hoạch)'!$D15:$AA15)-SUM($D15:O15)</f>
        <v>0</v>
      </c>
      <c r="Q15" s="2">
        <f>'EV (Tiến độ lũy kế)'!Q15*SUM('PV (Kế hoạch)'!$D15:$AA15)-SUM($D15:P15)</f>
        <v>0</v>
      </c>
      <c r="R15" s="2">
        <f>'EV (Tiến độ lũy kế)'!R15*SUM('PV (Kế hoạch)'!$D15:$AA15)-SUM($D15:Q15)</f>
        <v>2</v>
      </c>
      <c r="S15" s="2">
        <f>'EV (Tiến độ lũy kế)'!S15*SUM('PV (Kế hoạch)'!$D15:$AA15)-SUM($D15:R15)</f>
        <v>5</v>
      </c>
      <c r="T15" s="2">
        <f>'EV (Tiến độ lũy kế)'!T15*SUM('PV (Kế hoạch)'!$D15:$AA15)-SUM($D15:S15)</f>
        <v>3</v>
      </c>
      <c r="U15" s="2">
        <f>'EV (Tiến độ lũy kế)'!U15*SUM('PV (Kế hoạch)'!$D15:$AA15)-SUM($D15:T15)</f>
        <v>0</v>
      </c>
      <c r="V15" s="2">
        <f>'EV (Tiến độ lũy kế)'!V15*SUM('PV (Kế hoạch)'!$D15:$AA15)-SUM($D15:U15)</f>
        <v>0</v>
      </c>
      <c r="W15" s="2">
        <f>'EV (Tiến độ lũy kế)'!W15*SUM('PV (Kế hoạch)'!$D15:$AA15)-SUM($D15:V15)</f>
        <v>0</v>
      </c>
      <c r="X15" s="2">
        <f>'EV (Tiến độ lũy kế)'!X15*SUM('PV (Kế hoạch)'!$D15:$AA15)-SUM($D15:W15)</f>
        <v>0</v>
      </c>
      <c r="Y15" s="2">
        <f>'EV (Tiến độ lũy kế)'!Y15*SUM('PV (Kế hoạch)'!$D15:$AA15)-SUM($D15:X15)</f>
        <v>0</v>
      </c>
      <c r="Z15" s="2">
        <f>'EV (Tiến độ lũy kế)'!Z15*SUM('PV (Kế hoạch)'!$D15:$AA15)-SUM($D15:Y15)</f>
        <v>0</v>
      </c>
      <c r="AA15" s="2">
        <f>'EV (Tiến độ lũy kế)'!AA15*SUM('PV (Kế hoạch)'!$D15:$AA15)-SUM($D15:Z15)</f>
        <v>0</v>
      </c>
      <c r="AB15" s="5">
        <f t="shared" si="0"/>
        <v>10</v>
      </c>
    </row>
    <row r="16" spans="2:28" ht="21.95" customHeight="1">
      <c r="B16" s="2">
        <f>IF('PV (Kế hoạch)'!B16="","",'PV (Kế hoạch)'!B16)</f>
        <v>14</v>
      </c>
      <c r="C16" s="3" t="str">
        <f>IF('PV (Kế hoạch)'!C16="","",'PV (Kế hoạch)'!C16)</f>
        <v>Tích hợp API bên thứ 3</v>
      </c>
      <c r="D16" s="2">
        <f>'EV (Tiến độ lũy kế)'!D16*SUM('PV (Kế hoạch)'!$D16:$AA16)</f>
        <v>0</v>
      </c>
      <c r="E16" s="2">
        <f>'EV (Tiến độ lũy kế)'!E16*SUM('PV (Kế hoạch)'!$D16:$AA16)-SUM($D16:D16)</f>
        <v>0</v>
      </c>
      <c r="F16" s="2">
        <f>'EV (Tiến độ lũy kế)'!F16*SUM('PV (Kế hoạch)'!$D16:$AA16)-SUM($D16:E16)</f>
        <v>0</v>
      </c>
      <c r="G16" s="2">
        <f>'EV (Tiến độ lũy kế)'!G16*SUM('PV (Kế hoạch)'!$D16:$AA16)-SUM($D16:F16)</f>
        <v>0</v>
      </c>
      <c r="H16" s="2">
        <f>'EV (Tiến độ lũy kế)'!H16*SUM('PV (Kế hoạch)'!$D16:$AA16)-SUM($D16:G16)</f>
        <v>0</v>
      </c>
      <c r="I16" s="2">
        <f>'EV (Tiến độ lũy kế)'!I16*SUM('PV (Kế hoạch)'!$D16:$AA16)-SUM($D16:H16)</f>
        <v>0</v>
      </c>
      <c r="J16" s="2">
        <f>'EV (Tiến độ lũy kế)'!J16*SUM('PV (Kế hoạch)'!$D16:$AA16)-SUM($D16:I16)</f>
        <v>0</v>
      </c>
      <c r="K16" s="2">
        <f>'EV (Tiến độ lũy kế)'!K16*SUM('PV (Kế hoạch)'!$D16:$AA16)-SUM($D16:J16)</f>
        <v>0</v>
      </c>
      <c r="L16" s="2">
        <f>'EV (Tiến độ lũy kế)'!L16*SUM('PV (Kế hoạch)'!$D16:$AA16)-SUM($D16:K16)</f>
        <v>0</v>
      </c>
      <c r="M16" s="2">
        <f>'EV (Tiến độ lũy kế)'!M16*SUM('PV (Kế hoạch)'!$D16:$AA16)-SUM($D16:L16)</f>
        <v>0</v>
      </c>
      <c r="N16" s="2">
        <f>'EV (Tiến độ lũy kế)'!N16*SUM('PV (Kế hoạch)'!$D16:$AA16)-SUM($D16:M16)</f>
        <v>0</v>
      </c>
      <c r="O16" s="2">
        <f>'EV (Tiến độ lũy kế)'!O16*SUM('PV (Kế hoạch)'!$D16:$AA16)-SUM($D16:N16)</f>
        <v>0</v>
      </c>
      <c r="P16" s="2">
        <f>'EV (Tiến độ lũy kế)'!P16*SUM('PV (Kế hoạch)'!$D16:$AA16)-SUM($D16:O16)</f>
        <v>0</v>
      </c>
      <c r="Q16" s="2">
        <f>'EV (Tiến độ lũy kế)'!Q16*SUM('PV (Kế hoạch)'!$D16:$AA16)-SUM($D16:P16)</f>
        <v>2</v>
      </c>
      <c r="R16" s="2">
        <f>'EV (Tiến độ lũy kế)'!R16*SUM('PV (Kế hoạch)'!$D16:$AA16)-SUM($D16:Q16)</f>
        <v>3.04</v>
      </c>
      <c r="S16" s="2">
        <f>'EV (Tiến độ lũy kế)'!S16*SUM('PV (Kế hoạch)'!$D16:$AA16)-SUM($D16:R16)</f>
        <v>2.96</v>
      </c>
      <c r="T16" s="2">
        <f>'EV (Tiến độ lũy kế)'!T16*SUM('PV (Kế hoạch)'!$D16:$AA16)-SUM($D16:S16)</f>
        <v>0</v>
      </c>
      <c r="U16" s="2">
        <f>'EV (Tiến độ lũy kế)'!U16*SUM('PV (Kế hoạch)'!$D16:$AA16)-SUM($D16:T16)</f>
        <v>0</v>
      </c>
      <c r="V16" s="2">
        <f>'EV (Tiến độ lũy kế)'!V16*SUM('PV (Kế hoạch)'!$D16:$AA16)-SUM($D16:U16)</f>
        <v>0</v>
      </c>
      <c r="W16" s="2">
        <f>'EV (Tiến độ lũy kế)'!W16*SUM('PV (Kế hoạch)'!$D16:$AA16)-SUM($D16:V16)</f>
        <v>0</v>
      </c>
      <c r="X16" s="2">
        <f>'EV (Tiến độ lũy kế)'!X16*SUM('PV (Kế hoạch)'!$D16:$AA16)-SUM($D16:W16)</f>
        <v>0</v>
      </c>
      <c r="Y16" s="2">
        <f>'EV (Tiến độ lũy kế)'!Y16*SUM('PV (Kế hoạch)'!$D16:$AA16)-SUM($D16:X16)</f>
        <v>0</v>
      </c>
      <c r="Z16" s="2">
        <f>'EV (Tiến độ lũy kế)'!Z16*SUM('PV (Kế hoạch)'!$D16:$AA16)-SUM($D16:Y16)</f>
        <v>0</v>
      </c>
      <c r="AA16" s="2">
        <f>'EV (Tiến độ lũy kế)'!AA16*SUM('PV (Kế hoạch)'!$D16:$AA16)-SUM($D16:Z16)</f>
        <v>0</v>
      </c>
      <c r="AB16" s="5">
        <f t="shared" si="0"/>
        <v>8</v>
      </c>
    </row>
    <row r="17" spans="2:28" ht="21.95" customHeight="1">
      <c r="B17" s="2">
        <f>IF('PV (Kế hoạch)'!B17="","",'PV (Kế hoạch)'!B17)</f>
        <v>15</v>
      </c>
      <c r="C17" s="3" t="str">
        <f>IF('PV (Kế hoạch)'!C17="","",'PV (Kế hoạch)'!C17)</f>
        <v>Unit Testing</v>
      </c>
      <c r="D17" s="2">
        <f>'EV (Tiến độ lũy kế)'!D17*SUM('PV (Kế hoạch)'!$D17:$AA17)</f>
        <v>0</v>
      </c>
      <c r="E17" s="2">
        <f>'EV (Tiến độ lũy kế)'!E17*SUM('PV (Kế hoạch)'!$D17:$AA17)-SUM($D17:D17)</f>
        <v>0</v>
      </c>
      <c r="F17" s="2">
        <f>'EV (Tiến độ lũy kế)'!F17*SUM('PV (Kế hoạch)'!$D17:$AA17)-SUM($D17:E17)</f>
        <v>0</v>
      </c>
      <c r="G17" s="2">
        <f>'EV (Tiến độ lũy kế)'!G17*SUM('PV (Kế hoạch)'!$D17:$AA17)-SUM($D17:F17)</f>
        <v>0</v>
      </c>
      <c r="H17" s="2">
        <f>'EV (Tiến độ lũy kế)'!H17*SUM('PV (Kế hoạch)'!$D17:$AA17)-SUM($D17:G17)</f>
        <v>0</v>
      </c>
      <c r="I17" s="2">
        <f>'EV (Tiến độ lũy kế)'!I17*SUM('PV (Kế hoạch)'!$D17:$AA17)-SUM($D17:H17)</f>
        <v>0</v>
      </c>
      <c r="J17" s="2">
        <f>'EV (Tiến độ lũy kế)'!J17*SUM('PV (Kế hoạch)'!$D17:$AA17)-SUM($D17:I17)</f>
        <v>0</v>
      </c>
      <c r="K17" s="2">
        <f>'EV (Tiến độ lũy kế)'!K17*SUM('PV (Kế hoạch)'!$D17:$AA17)-SUM($D17:J17)</f>
        <v>0</v>
      </c>
      <c r="L17" s="2">
        <f>'EV (Tiến độ lũy kế)'!L17*SUM('PV (Kế hoạch)'!$D17:$AA17)-SUM($D17:K17)</f>
        <v>0</v>
      </c>
      <c r="M17" s="2">
        <f>'EV (Tiến độ lũy kế)'!M17*SUM('PV (Kế hoạch)'!$D17:$AA17)-SUM($D17:L17)</f>
        <v>0.96</v>
      </c>
      <c r="N17" s="2">
        <f>'EV (Tiến độ lũy kế)'!N17*SUM('PV (Kế hoạch)'!$D17:$AA17)-SUM($D17:M17)</f>
        <v>1.08</v>
      </c>
      <c r="O17" s="2">
        <f>'EV (Tiến độ lũy kế)'!O17*SUM('PV (Kế hoạch)'!$D17:$AA17)-SUM($D17:N17)</f>
        <v>0.96</v>
      </c>
      <c r="P17" s="2">
        <f>'EV (Tiến độ lũy kế)'!P17*SUM('PV (Kế hoạch)'!$D17:$AA17)-SUM($D17:O17)</f>
        <v>0.96</v>
      </c>
      <c r="Q17" s="2">
        <f>'EV (Tiến độ lũy kế)'!Q17*SUM('PV (Kế hoạch)'!$D17:$AA17)-SUM($D17:P17)</f>
        <v>2.04</v>
      </c>
      <c r="R17" s="2">
        <f>'EV (Tiến độ lũy kế)'!R17*SUM('PV (Kế hoạch)'!$D17:$AA17)-SUM($D17:Q17)</f>
        <v>2.0400000000000009</v>
      </c>
      <c r="S17" s="2">
        <f>'EV (Tiến độ lũy kế)'!S17*SUM('PV (Kế hoạch)'!$D17:$AA17)-SUM($D17:R17)</f>
        <v>1.9199999999999982</v>
      </c>
      <c r="T17" s="2">
        <f>'EV (Tiến độ lũy kế)'!T17*SUM('PV (Kế hoạch)'!$D17:$AA17)-SUM($D17:S17)</f>
        <v>2.0400000000000009</v>
      </c>
      <c r="U17" s="2">
        <f>'EV (Tiến độ lũy kế)'!U17*SUM('PV (Kế hoạch)'!$D17:$AA17)-SUM($D17:T17)</f>
        <v>0</v>
      </c>
      <c r="V17" s="2">
        <f>'EV (Tiến độ lũy kế)'!V17*SUM('PV (Kế hoạch)'!$D17:$AA17)-SUM($D17:U17)</f>
        <v>0</v>
      </c>
      <c r="W17" s="2">
        <f>'EV (Tiến độ lũy kế)'!W17*SUM('PV (Kế hoạch)'!$D17:$AA17)-SUM($D17:V17)</f>
        <v>0</v>
      </c>
      <c r="X17" s="2">
        <f>'EV (Tiến độ lũy kế)'!X17*SUM('PV (Kế hoạch)'!$D17:$AA17)-SUM($D17:W17)</f>
        <v>0</v>
      </c>
      <c r="Y17" s="2">
        <f>'EV (Tiến độ lũy kế)'!Y17*SUM('PV (Kế hoạch)'!$D17:$AA17)-SUM($D17:X17)</f>
        <v>0</v>
      </c>
      <c r="Z17" s="2">
        <f>'EV (Tiến độ lũy kế)'!Z17*SUM('PV (Kế hoạch)'!$D17:$AA17)-SUM($D17:Y17)</f>
        <v>0</v>
      </c>
      <c r="AA17" s="2">
        <f>'EV (Tiến độ lũy kế)'!AA17*SUM('PV (Kế hoạch)'!$D17:$AA17)-SUM($D17:Z17)</f>
        <v>0</v>
      </c>
      <c r="AB17" s="5">
        <f t="shared" si="0"/>
        <v>12</v>
      </c>
    </row>
    <row r="18" spans="2:28" ht="21.95" customHeight="1">
      <c r="B18" s="2">
        <f>IF('PV (Kế hoạch)'!B18="","",'PV (Kế hoạch)'!B18)</f>
        <v>16</v>
      </c>
      <c r="C18" s="3" t="str">
        <f>IF('PV (Kế hoạch)'!C18="","",'PV (Kế hoạch)'!C18)</f>
        <v>Integration Testing</v>
      </c>
      <c r="D18" s="2">
        <f>'EV (Tiến độ lũy kế)'!D18*SUM('PV (Kế hoạch)'!$D18:$AA18)</f>
        <v>0</v>
      </c>
      <c r="E18" s="2">
        <f>'EV (Tiến độ lũy kế)'!E18*SUM('PV (Kế hoạch)'!$D18:$AA18)-SUM($D18:D18)</f>
        <v>0</v>
      </c>
      <c r="F18" s="2">
        <f>'EV (Tiến độ lũy kế)'!F18*SUM('PV (Kế hoạch)'!$D18:$AA18)-SUM($D18:E18)</f>
        <v>0</v>
      </c>
      <c r="G18" s="2">
        <f>'EV (Tiến độ lũy kế)'!G18*SUM('PV (Kế hoạch)'!$D18:$AA18)-SUM($D18:F18)</f>
        <v>0</v>
      </c>
      <c r="H18" s="2">
        <f>'EV (Tiến độ lũy kế)'!H18*SUM('PV (Kế hoạch)'!$D18:$AA18)-SUM($D18:G18)</f>
        <v>0</v>
      </c>
      <c r="I18" s="2">
        <f>'EV (Tiến độ lũy kế)'!I18*SUM('PV (Kế hoạch)'!$D18:$AA18)-SUM($D18:H18)</f>
        <v>0</v>
      </c>
      <c r="J18" s="2">
        <f>'EV (Tiến độ lũy kế)'!J18*SUM('PV (Kế hoạch)'!$D18:$AA18)-SUM($D18:I18)</f>
        <v>0</v>
      </c>
      <c r="K18" s="2">
        <f>'EV (Tiến độ lũy kế)'!K18*SUM('PV (Kế hoạch)'!$D18:$AA18)-SUM($D18:J18)</f>
        <v>0</v>
      </c>
      <c r="L18" s="2">
        <f>'EV (Tiến độ lũy kế)'!L18*SUM('PV (Kế hoạch)'!$D18:$AA18)-SUM($D18:K18)</f>
        <v>0</v>
      </c>
      <c r="M18" s="2">
        <f>'EV (Tiến độ lũy kế)'!M18*SUM('PV (Kế hoạch)'!$D18:$AA18)-SUM($D18:L18)</f>
        <v>0</v>
      </c>
      <c r="N18" s="2">
        <f>'EV (Tiến độ lũy kế)'!N18*SUM('PV (Kế hoạch)'!$D18:$AA18)-SUM($D18:M18)</f>
        <v>0</v>
      </c>
      <c r="O18" s="2">
        <f>'EV (Tiến độ lũy kế)'!O18*SUM('PV (Kế hoạch)'!$D18:$AA18)-SUM($D18:N18)</f>
        <v>0</v>
      </c>
      <c r="P18" s="2">
        <f>'EV (Tiến độ lũy kế)'!P18*SUM('PV (Kế hoạch)'!$D18:$AA18)-SUM($D18:O18)</f>
        <v>0</v>
      </c>
      <c r="Q18" s="2">
        <f>'EV (Tiến độ lũy kế)'!Q18*SUM('PV (Kế hoạch)'!$D18:$AA18)-SUM($D18:P18)</f>
        <v>0</v>
      </c>
      <c r="R18" s="2">
        <f>'EV (Tiến độ lũy kế)'!R18*SUM('PV (Kế hoạch)'!$D18:$AA18)-SUM($D18:Q18)</f>
        <v>0</v>
      </c>
      <c r="S18" s="2">
        <f>'EV (Tiến độ lũy kế)'!S18*SUM('PV (Kế hoạch)'!$D18:$AA18)-SUM($D18:R18)</f>
        <v>2</v>
      </c>
      <c r="T18" s="2">
        <f>'EV (Tiến độ lũy kế)'!T18*SUM('PV (Kế hoạch)'!$D18:$AA18)-SUM($D18:S18)</f>
        <v>3.04</v>
      </c>
      <c r="U18" s="2">
        <f>'EV (Tiến độ lũy kế)'!U18*SUM('PV (Kế hoạch)'!$D18:$AA18)-SUM($D18:T18)</f>
        <v>2.96</v>
      </c>
      <c r="V18" s="2">
        <f>'EV (Tiến độ lũy kế)'!V18*SUM('PV (Kế hoạch)'!$D18:$AA18)-SUM($D18:U18)</f>
        <v>0</v>
      </c>
      <c r="W18" s="2">
        <f>'EV (Tiến độ lũy kế)'!W18*SUM('PV (Kế hoạch)'!$D18:$AA18)-SUM($D18:V18)</f>
        <v>0</v>
      </c>
      <c r="X18" s="2">
        <f>'EV (Tiến độ lũy kế)'!X18*SUM('PV (Kế hoạch)'!$D18:$AA18)-SUM($D18:W18)</f>
        <v>0</v>
      </c>
      <c r="Y18" s="2">
        <f>'EV (Tiến độ lũy kế)'!Y18*SUM('PV (Kế hoạch)'!$D18:$AA18)-SUM($D18:X18)</f>
        <v>0</v>
      </c>
      <c r="Z18" s="2">
        <f>'EV (Tiến độ lũy kế)'!Z18*SUM('PV (Kế hoạch)'!$D18:$AA18)-SUM($D18:Y18)</f>
        <v>0</v>
      </c>
      <c r="AA18" s="2">
        <f>'EV (Tiến độ lũy kế)'!AA18*SUM('PV (Kế hoạch)'!$D18:$AA18)-SUM($D18:Z18)</f>
        <v>0</v>
      </c>
      <c r="AB18" s="5">
        <f t="shared" si="0"/>
        <v>8</v>
      </c>
    </row>
    <row r="19" spans="2:28" ht="21.95" customHeight="1">
      <c r="B19" s="2">
        <f>IF('PV (Kế hoạch)'!B19="","",'PV (Kế hoạch)'!B19)</f>
        <v>17</v>
      </c>
      <c r="C19" s="3" t="str">
        <f>IF('PV (Kế hoạch)'!C19="","",'PV (Kế hoạch)'!C19)</f>
        <v>System Testing</v>
      </c>
      <c r="D19" s="2">
        <f>'EV (Tiến độ lũy kế)'!D19*SUM('PV (Kế hoạch)'!$D19:$AA19)</f>
        <v>0</v>
      </c>
      <c r="E19" s="2">
        <f>'EV (Tiến độ lũy kế)'!E19*SUM('PV (Kế hoạch)'!$D19:$AA19)-SUM($D19:D19)</f>
        <v>0</v>
      </c>
      <c r="F19" s="2">
        <f>'EV (Tiến độ lũy kế)'!F19*SUM('PV (Kế hoạch)'!$D19:$AA19)-SUM($D19:E19)</f>
        <v>0</v>
      </c>
      <c r="G19" s="2">
        <f>'EV (Tiến độ lũy kế)'!G19*SUM('PV (Kế hoạch)'!$D19:$AA19)-SUM($D19:F19)</f>
        <v>0</v>
      </c>
      <c r="H19" s="2">
        <f>'EV (Tiến độ lũy kế)'!H19*SUM('PV (Kế hoạch)'!$D19:$AA19)-SUM($D19:G19)</f>
        <v>0</v>
      </c>
      <c r="I19" s="2">
        <f>'EV (Tiến độ lũy kế)'!I19*SUM('PV (Kế hoạch)'!$D19:$AA19)-SUM($D19:H19)</f>
        <v>0</v>
      </c>
      <c r="J19" s="2">
        <f>'EV (Tiến độ lũy kế)'!J19*SUM('PV (Kế hoạch)'!$D19:$AA19)-SUM($D19:I19)</f>
        <v>0</v>
      </c>
      <c r="K19" s="2">
        <f>'EV (Tiến độ lũy kế)'!K19*SUM('PV (Kế hoạch)'!$D19:$AA19)-SUM($D19:J19)</f>
        <v>0</v>
      </c>
      <c r="L19" s="2">
        <f>'EV (Tiến độ lũy kế)'!L19*SUM('PV (Kế hoạch)'!$D19:$AA19)-SUM($D19:K19)</f>
        <v>0</v>
      </c>
      <c r="M19" s="2">
        <f>'EV (Tiến độ lũy kế)'!M19*SUM('PV (Kế hoạch)'!$D19:$AA19)-SUM($D19:L19)</f>
        <v>0</v>
      </c>
      <c r="N19" s="2">
        <f>'EV (Tiến độ lũy kế)'!N19*SUM('PV (Kế hoạch)'!$D19:$AA19)-SUM($D19:M19)</f>
        <v>0</v>
      </c>
      <c r="O19" s="2">
        <f>'EV (Tiến độ lũy kế)'!O19*SUM('PV (Kế hoạch)'!$D19:$AA19)-SUM($D19:N19)</f>
        <v>0</v>
      </c>
      <c r="P19" s="2">
        <f>'EV (Tiến độ lũy kế)'!P19*SUM('PV (Kế hoạch)'!$D19:$AA19)-SUM($D19:O19)</f>
        <v>0</v>
      </c>
      <c r="Q19" s="2">
        <f>'EV (Tiến độ lũy kế)'!Q19*SUM('PV (Kế hoạch)'!$D19:$AA19)-SUM($D19:P19)</f>
        <v>0</v>
      </c>
      <c r="R19" s="2">
        <f>'EV (Tiến độ lũy kế)'!R19*SUM('PV (Kế hoạch)'!$D19:$AA19)-SUM($D19:Q19)</f>
        <v>0</v>
      </c>
      <c r="S19" s="2">
        <f>'EV (Tiến độ lũy kế)'!S19*SUM('PV (Kế hoạch)'!$D19:$AA19)-SUM($D19:R19)</f>
        <v>0</v>
      </c>
      <c r="T19" s="2">
        <f>'EV (Tiến độ lũy kế)'!T19*SUM('PV (Kế hoạch)'!$D19:$AA19)-SUM($D19:S19)</f>
        <v>0</v>
      </c>
      <c r="U19" s="2">
        <f>'EV (Tiến độ lũy kế)'!U19*SUM('PV (Kế hoạch)'!$D19:$AA19)-SUM($D19:T19)</f>
        <v>2.04</v>
      </c>
      <c r="V19" s="2">
        <f>'EV (Tiến độ lũy kế)'!V19*SUM('PV (Kế hoạch)'!$D19:$AA19)-SUM($D19:U19)</f>
        <v>0</v>
      </c>
      <c r="W19" s="2">
        <f>'EV (Tiến độ lũy kế)'!W19*SUM('PV (Kế hoạch)'!$D19:$AA19)-SUM($D19:V19)</f>
        <v>0</v>
      </c>
      <c r="X19" s="2">
        <f>'EV (Tiến độ lũy kế)'!X19*SUM('PV (Kế hoạch)'!$D19:$AA19)-SUM($D19:W19)</f>
        <v>0</v>
      </c>
      <c r="Y19" s="2">
        <f>'EV (Tiến độ lũy kế)'!Y19*SUM('PV (Kế hoạch)'!$D19:$AA19)-SUM($D19:X19)</f>
        <v>0</v>
      </c>
      <c r="Z19" s="2">
        <f>'EV (Tiến độ lũy kế)'!Z19*SUM('PV (Kế hoạch)'!$D19:$AA19)-SUM($D19:Y19)</f>
        <v>0</v>
      </c>
      <c r="AA19" s="2">
        <f>'EV (Tiến độ lũy kế)'!AA19*SUM('PV (Kế hoạch)'!$D19:$AA19)-SUM($D19:Z19)</f>
        <v>0</v>
      </c>
      <c r="AB19" s="5">
        <f t="shared" si="0"/>
        <v>2.04</v>
      </c>
    </row>
    <row r="20" spans="2:28" ht="21.95" customHeight="1">
      <c r="B20" s="2">
        <f>IF('PV (Kế hoạch)'!B20="","",'PV (Kế hoạch)'!B20)</f>
        <v>18</v>
      </c>
      <c r="C20" s="3" t="str">
        <f>IF('PV (Kế hoạch)'!C20="","",'PV (Kế hoạch)'!C20)</f>
        <v>UAT (User Acceptance Testing)</v>
      </c>
      <c r="D20" s="2">
        <f>'EV (Tiến độ lũy kế)'!D20*SUM('PV (Kế hoạch)'!$D20:$AA20)</f>
        <v>0</v>
      </c>
      <c r="E20" s="2">
        <f>'EV (Tiến độ lũy kế)'!E20*SUM('PV (Kế hoạch)'!$D20:$AA20)-SUM($D20:D20)</f>
        <v>0</v>
      </c>
      <c r="F20" s="2">
        <f>'EV (Tiến độ lũy kế)'!F20*SUM('PV (Kế hoạch)'!$D20:$AA20)-SUM($D20:E20)</f>
        <v>0</v>
      </c>
      <c r="G20" s="2">
        <f>'EV (Tiến độ lũy kế)'!G20*SUM('PV (Kế hoạch)'!$D20:$AA20)-SUM($D20:F20)</f>
        <v>0</v>
      </c>
      <c r="H20" s="2">
        <f>'EV (Tiến độ lũy kế)'!H20*SUM('PV (Kế hoạch)'!$D20:$AA20)-SUM($D20:G20)</f>
        <v>0</v>
      </c>
      <c r="I20" s="2">
        <f>'EV (Tiến độ lũy kế)'!I20*SUM('PV (Kế hoạch)'!$D20:$AA20)-SUM($D20:H20)</f>
        <v>0</v>
      </c>
      <c r="J20" s="2">
        <f>'EV (Tiến độ lũy kế)'!J20*SUM('PV (Kế hoạch)'!$D20:$AA20)-SUM($D20:I20)</f>
        <v>0</v>
      </c>
      <c r="K20" s="2">
        <f>'EV (Tiến độ lũy kế)'!K20*SUM('PV (Kế hoạch)'!$D20:$AA20)-SUM($D20:J20)</f>
        <v>0</v>
      </c>
      <c r="L20" s="2">
        <f>'EV (Tiến độ lũy kế)'!L20*SUM('PV (Kế hoạch)'!$D20:$AA20)-SUM($D20:K20)</f>
        <v>0</v>
      </c>
      <c r="M20" s="2">
        <f>'EV (Tiến độ lũy kế)'!M20*SUM('PV (Kế hoạch)'!$D20:$AA20)-SUM($D20:L20)</f>
        <v>0</v>
      </c>
      <c r="N20" s="2">
        <f>'EV (Tiến độ lũy kế)'!N20*SUM('PV (Kế hoạch)'!$D20:$AA20)-SUM($D20:M20)</f>
        <v>0</v>
      </c>
      <c r="O20" s="2">
        <f>'EV (Tiến độ lũy kế)'!O20*SUM('PV (Kế hoạch)'!$D20:$AA20)-SUM($D20:N20)</f>
        <v>0</v>
      </c>
      <c r="P20" s="2">
        <f>'EV (Tiến độ lũy kế)'!P20*SUM('PV (Kế hoạch)'!$D20:$AA20)-SUM($D20:O20)</f>
        <v>0</v>
      </c>
      <c r="Q20" s="2">
        <f>'EV (Tiến độ lũy kế)'!Q20*SUM('PV (Kế hoạch)'!$D20:$AA20)-SUM($D20:P20)</f>
        <v>0</v>
      </c>
      <c r="R20" s="2">
        <f>'EV (Tiến độ lũy kế)'!R20*SUM('PV (Kế hoạch)'!$D20:$AA20)-SUM($D20:Q20)</f>
        <v>0</v>
      </c>
      <c r="S20" s="2">
        <f>'EV (Tiến độ lũy kế)'!S20*SUM('PV (Kế hoạch)'!$D20:$AA20)-SUM($D20:R20)</f>
        <v>0</v>
      </c>
      <c r="T20" s="2">
        <f>'EV (Tiến độ lũy kế)'!T20*SUM('PV (Kế hoạch)'!$D20:$AA20)-SUM($D20:S20)</f>
        <v>0</v>
      </c>
      <c r="U20" s="2">
        <f>'EV (Tiến độ lũy kế)'!U20*SUM('PV (Kế hoạch)'!$D20:$AA20)-SUM($D20:T20)</f>
        <v>0</v>
      </c>
      <c r="V20" s="2">
        <f>'EV (Tiến độ lũy kế)'!V20*SUM('PV (Kế hoạch)'!$D20:$AA20)-SUM($D20:U20)</f>
        <v>0</v>
      </c>
      <c r="W20" s="2">
        <f>'EV (Tiến độ lũy kế)'!W20*SUM('PV (Kế hoạch)'!$D20:$AA20)-SUM($D20:V20)</f>
        <v>0</v>
      </c>
      <c r="X20" s="2">
        <f>'EV (Tiến độ lũy kế)'!X20*SUM('PV (Kế hoạch)'!$D20:$AA20)-SUM($D20:W20)</f>
        <v>0</v>
      </c>
      <c r="Y20" s="2">
        <f>'EV (Tiến độ lũy kế)'!Y20*SUM('PV (Kế hoạch)'!$D20:$AA20)-SUM($D20:X20)</f>
        <v>0</v>
      </c>
      <c r="Z20" s="2">
        <f>'EV (Tiến độ lũy kế)'!Z20*SUM('PV (Kế hoạch)'!$D20:$AA20)-SUM($D20:Y20)</f>
        <v>0</v>
      </c>
      <c r="AA20" s="2">
        <f>'EV (Tiến độ lũy kế)'!AA20*SUM('PV (Kế hoạch)'!$D20:$AA20)-SUM($D20:Z20)</f>
        <v>0</v>
      </c>
      <c r="AB20" s="5">
        <f t="shared" si="0"/>
        <v>0</v>
      </c>
    </row>
    <row r="21" spans="2:28" ht="21.95" customHeight="1">
      <c r="B21" s="2">
        <f>IF('PV (Kế hoạch)'!B21="","",'PV (Kế hoạch)'!B21)</f>
        <v>19</v>
      </c>
      <c r="C21" s="3" t="str">
        <f>IF('PV (Kế hoạch)'!C21="","",'PV (Kế hoạch)'!C21)</f>
        <v>Bug fixing</v>
      </c>
      <c r="D21" s="2">
        <f>'EV (Tiến độ lũy kế)'!D21*SUM('PV (Kế hoạch)'!$D21:$AA21)</f>
        <v>0</v>
      </c>
      <c r="E21" s="2">
        <f>'EV (Tiến độ lũy kế)'!E21*SUM('PV (Kế hoạch)'!$D21:$AA21)-SUM($D21:D21)</f>
        <v>0</v>
      </c>
      <c r="F21" s="2">
        <f>'EV (Tiến độ lũy kế)'!F21*SUM('PV (Kế hoạch)'!$D21:$AA21)-SUM($D21:E21)</f>
        <v>0</v>
      </c>
      <c r="G21" s="2">
        <f>'EV (Tiến độ lũy kế)'!G21*SUM('PV (Kế hoạch)'!$D21:$AA21)-SUM($D21:F21)</f>
        <v>0</v>
      </c>
      <c r="H21" s="2">
        <f>'EV (Tiến độ lũy kế)'!H21*SUM('PV (Kế hoạch)'!$D21:$AA21)-SUM($D21:G21)</f>
        <v>0</v>
      </c>
      <c r="I21" s="2">
        <f>'EV (Tiến độ lũy kế)'!I21*SUM('PV (Kế hoạch)'!$D21:$AA21)-SUM($D21:H21)</f>
        <v>0</v>
      </c>
      <c r="J21" s="2">
        <f>'EV (Tiến độ lũy kế)'!J21*SUM('PV (Kế hoạch)'!$D21:$AA21)-SUM($D21:I21)</f>
        <v>0</v>
      </c>
      <c r="K21" s="2">
        <f>'EV (Tiến độ lũy kế)'!K21*SUM('PV (Kế hoạch)'!$D21:$AA21)-SUM($D21:J21)</f>
        <v>0</v>
      </c>
      <c r="L21" s="2">
        <f>'EV (Tiến độ lũy kế)'!L21*SUM('PV (Kế hoạch)'!$D21:$AA21)-SUM($D21:K21)</f>
        <v>0</v>
      </c>
      <c r="M21" s="2">
        <f>'EV (Tiến độ lũy kế)'!M21*SUM('PV (Kế hoạch)'!$D21:$AA21)-SUM($D21:L21)</f>
        <v>0</v>
      </c>
      <c r="N21" s="2">
        <f>'EV (Tiến độ lũy kế)'!N21*SUM('PV (Kế hoạch)'!$D21:$AA21)-SUM($D21:M21)</f>
        <v>0</v>
      </c>
      <c r="O21" s="2">
        <f>'EV (Tiến độ lũy kế)'!O21*SUM('PV (Kế hoạch)'!$D21:$AA21)-SUM($D21:N21)</f>
        <v>0</v>
      </c>
      <c r="P21" s="2">
        <f>'EV (Tiến độ lũy kế)'!P21*SUM('PV (Kế hoạch)'!$D21:$AA21)-SUM($D21:O21)</f>
        <v>0</v>
      </c>
      <c r="Q21" s="2">
        <f>'EV (Tiến độ lũy kế)'!Q21*SUM('PV (Kế hoạch)'!$D21:$AA21)-SUM($D21:P21)</f>
        <v>0</v>
      </c>
      <c r="R21" s="2">
        <f>'EV (Tiến độ lũy kế)'!R21*SUM('PV (Kế hoạch)'!$D21:$AA21)-SUM($D21:Q21)</f>
        <v>0</v>
      </c>
      <c r="S21" s="2">
        <f>'EV (Tiến độ lũy kế)'!S21*SUM('PV (Kế hoạch)'!$D21:$AA21)-SUM($D21:R21)</f>
        <v>0</v>
      </c>
      <c r="T21" s="2">
        <f>'EV (Tiến độ lũy kế)'!T21*SUM('PV (Kế hoạch)'!$D21:$AA21)-SUM($D21:S21)</f>
        <v>0</v>
      </c>
      <c r="U21" s="2">
        <f>'EV (Tiến độ lũy kế)'!U21*SUM('PV (Kế hoạch)'!$D21:$AA21)-SUM($D21:T21)</f>
        <v>0</v>
      </c>
      <c r="V21" s="2">
        <f>'EV (Tiến độ lũy kế)'!V21*SUM('PV (Kế hoạch)'!$D21:$AA21)-SUM($D21:U21)</f>
        <v>0</v>
      </c>
      <c r="W21" s="2">
        <f>'EV (Tiến độ lũy kế)'!W21*SUM('PV (Kế hoạch)'!$D21:$AA21)-SUM($D21:V21)</f>
        <v>0</v>
      </c>
      <c r="X21" s="2">
        <f>'EV (Tiến độ lũy kế)'!X21*SUM('PV (Kế hoạch)'!$D21:$AA21)-SUM($D21:W21)</f>
        <v>0</v>
      </c>
      <c r="Y21" s="2">
        <f>'EV (Tiến độ lũy kế)'!Y21*SUM('PV (Kế hoạch)'!$D21:$AA21)-SUM($D21:X21)</f>
        <v>0</v>
      </c>
      <c r="Z21" s="2">
        <f>'EV (Tiến độ lũy kế)'!Z21*SUM('PV (Kế hoạch)'!$D21:$AA21)-SUM($D21:Y21)</f>
        <v>0</v>
      </c>
      <c r="AA21" s="2">
        <f>'EV (Tiến độ lũy kế)'!AA21*SUM('PV (Kế hoạch)'!$D21:$AA21)-SUM($D21:Z21)</f>
        <v>0</v>
      </c>
      <c r="AB21" s="5">
        <f t="shared" si="0"/>
        <v>0</v>
      </c>
    </row>
    <row r="22" spans="2:28" ht="21.95" customHeight="1">
      <c r="B22" s="2">
        <f>IF('PV (Kế hoạch)'!B22="","",'PV (Kế hoạch)'!B22)</f>
        <v>20</v>
      </c>
      <c r="C22" s="3" t="str">
        <f>IF('PV (Kế hoạch)'!C22="","",'PV (Kế hoạch)'!C22)</f>
        <v>Performance Optimization</v>
      </c>
      <c r="D22" s="2">
        <f>'EV (Tiến độ lũy kế)'!D22*SUM('PV (Kế hoạch)'!$D22:$AA22)</f>
        <v>0</v>
      </c>
      <c r="E22" s="2">
        <f>'EV (Tiến độ lũy kế)'!E22*SUM('PV (Kế hoạch)'!$D22:$AA22)-SUM($D22:D22)</f>
        <v>0</v>
      </c>
      <c r="F22" s="2">
        <f>'EV (Tiến độ lũy kế)'!F22*SUM('PV (Kế hoạch)'!$D22:$AA22)-SUM($D22:E22)</f>
        <v>0</v>
      </c>
      <c r="G22" s="2">
        <f>'EV (Tiến độ lũy kế)'!G22*SUM('PV (Kế hoạch)'!$D22:$AA22)-SUM($D22:F22)</f>
        <v>0</v>
      </c>
      <c r="H22" s="2">
        <f>'EV (Tiến độ lũy kế)'!H22*SUM('PV (Kế hoạch)'!$D22:$AA22)-SUM($D22:G22)</f>
        <v>0</v>
      </c>
      <c r="I22" s="2">
        <f>'EV (Tiến độ lũy kế)'!I22*SUM('PV (Kế hoạch)'!$D22:$AA22)-SUM($D22:H22)</f>
        <v>0</v>
      </c>
      <c r="J22" s="2">
        <f>'EV (Tiến độ lũy kế)'!J22*SUM('PV (Kế hoạch)'!$D22:$AA22)-SUM($D22:I22)</f>
        <v>0</v>
      </c>
      <c r="K22" s="2">
        <f>'EV (Tiến độ lũy kế)'!K22*SUM('PV (Kế hoạch)'!$D22:$AA22)-SUM($D22:J22)</f>
        <v>0</v>
      </c>
      <c r="L22" s="2">
        <f>'EV (Tiến độ lũy kế)'!L22*SUM('PV (Kế hoạch)'!$D22:$AA22)-SUM($D22:K22)</f>
        <v>0</v>
      </c>
      <c r="M22" s="2">
        <f>'EV (Tiến độ lũy kế)'!M22*SUM('PV (Kế hoạch)'!$D22:$AA22)-SUM($D22:L22)</f>
        <v>0</v>
      </c>
      <c r="N22" s="2">
        <f>'EV (Tiến độ lũy kế)'!N22*SUM('PV (Kế hoạch)'!$D22:$AA22)-SUM($D22:M22)</f>
        <v>0</v>
      </c>
      <c r="O22" s="2">
        <f>'EV (Tiến độ lũy kế)'!O22*SUM('PV (Kế hoạch)'!$D22:$AA22)-SUM($D22:N22)</f>
        <v>0</v>
      </c>
      <c r="P22" s="2">
        <f>'EV (Tiến độ lũy kế)'!P22*SUM('PV (Kế hoạch)'!$D22:$AA22)-SUM($D22:O22)</f>
        <v>0</v>
      </c>
      <c r="Q22" s="2">
        <f>'EV (Tiến độ lũy kế)'!Q22*SUM('PV (Kế hoạch)'!$D22:$AA22)-SUM($D22:P22)</f>
        <v>0</v>
      </c>
      <c r="R22" s="2">
        <f>'EV (Tiến độ lũy kế)'!R22*SUM('PV (Kế hoạch)'!$D22:$AA22)-SUM($D22:Q22)</f>
        <v>0</v>
      </c>
      <c r="S22" s="2">
        <f>'EV (Tiến độ lũy kế)'!S22*SUM('PV (Kế hoạch)'!$D22:$AA22)-SUM($D22:R22)</f>
        <v>0</v>
      </c>
      <c r="T22" s="2">
        <f>'EV (Tiến độ lũy kế)'!T22*SUM('PV (Kế hoạch)'!$D22:$AA22)-SUM($D22:S22)</f>
        <v>0</v>
      </c>
      <c r="U22" s="2">
        <f>'EV (Tiến độ lũy kế)'!U22*SUM('PV (Kế hoạch)'!$D22:$AA22)-SUM($D22:T22)</f>
        <v>0</v>
      </c>
      <c r="V22" s="2">
        <f>'EV (Tiến độ lũy kế)'!V22*SUM('PV (Kế hoạch)'!$D22:$AA22)-SUM($D22:U22)</f>
        <v>0</v>
      </c>
      <c r="W22" s="2">
        <f>'EV (Tiến độ lũy kế)'!W22*SUM('PV (Kế hoạch)'!$D22:$AA22)-SUM($D22:V22)</f>
        <v>0</v>
      </c>
      <c r="X22" s="2">
        <f>'EV (Tiến độ lũy kế)'!X22*SUM('PV (Kế hoạch)'!$D22:$AA22)-SUM($D22:W22)</f>
        <v>0</v>
      </c>
      <c r="Y22" s="2">
        <f>'EV (Tiến độ lũy kế)'!Y22*SUM('PV (Kế hoạch)'!$D22:$AA22)-SUM($D22:X22)</f>
        <v>0</v>
      </c>
      <c r="Z22" s="2">
        <f>'EV (Tiến độ lũy kế)'!Z22*SUM('PV (Kế hoạch)'!$D22:$AA22)-SUM($D22:Y22)</f>
        <v>0</v>
      </c>
      <c r="AA22" s="2">
        <f>'EV (Tiến độ lũy kế)'!AA22*SUM('PV (Kế hoạch)'!$D22:$AA22)-SUM($D22:Z22)</f>
        <v>0</v>
      </c>
      <c r="AB22" s="5">
        <f t="shared" si="0"/>
        <v>0</v>
      </c>
    </row>
    <row r="23" spans="2:28" ht="21.95" customHeight="1">
      <c r="B23" s="2">
        <f>IF('PV (Kế hoạch)'!B23="","",'PV (Kế hoạch)'!B23)</f>
        <v>21</v>
      </c>
      <c r="C23" s="3" t="str">
        <f>IF('PV (Kế hoạch)'!C23="","",'PV (Kế hoạch)'!C23)</f>
        <v>Security Review</v>
      </c>
      <c r="D23" s="2">
        <f>'EV (Tiến độ lũy kế)'!D23*SUM('PV (Kế hoạch)'!$D23:$AA23)</f>
        <v>0</v>
      </c>
      <c r="E23" s="2">
        <f>'EV (Tiến độ lũy kế)'!E23*SUM('PV (Kế hoạch)'!$D23:$AA23)-SUM($D23:D23)</f>
        <v>0</v>
      </c>
      <c r="F23" s="2">
        <f>'EV (Tiến độ lũy kế)'!F23*SUM('PV (Kế hoạch)'!$D23:$AA23)-SUM($D23:E23)</f>
        <v>0</v>
      </c>
      <c r="G23" s="2">
        <f>'EV (Tiến độ lũy kế)'!G23*SUM('PV (Kế hoạch)'!$D23:$AA23)-SUM($D23:F23)</f>
        <v>0</v>
      </c>
      <c r="H23" s="2">
        <f>'EV (Tiến độ lũy kế)'!H23*SUM('PV (Kế hoạch)'!$D23:$AA23)-SUM($D23:G23)</f>
        <v>0</v>
      </c>
      <c r="I23" s="2">
        <f>'EV (Tiến độ lũy kế)'!I23*SUM('PV (Kế hoạch)'!$D23:$AA23)-SUM($D23:H23)</f>
        <v>0</v>
      </c>
      <c r="J23" s="2">
        <f>'EV (Tiến độ lũy kế)'!J23*SUM('PV (Kế hoạch)'!$D23:$AA23)-SUM($D23:I23)</f>
        <v>0</v>
      </c>
      <c r="K23" s="2">
        <f>'EV (Tiến độ lũy kế)'!K23*SUM('PV (Kế hoạch)'!$D23:$AA23)-SUM($D23:J23)</f>
        <v>0</v>
      </c>
      <c r="L23" s="2">
        <f>'EV (Tiến độ lũy kế)'!L23*SUM('PV (Kế hoạch)'!$D23:$AA23)-SUM($D23:K23)</f>
        <v>0</v>
      </c>
      <c r="M23" s="2">
        <f>'EV (Tiến độ lũy kế)'!M23*SUM('PV (Kế hoạch)'!$D23:$AA23)-SUM($D23:L23)</f>
        <v>0</v>
      </c>
      <c r="N23" s="2">
        <f>'EV (Tiến độ lũy kế)'!N23*SUM('PV (Kế hoạch)'!$D23:$AA23)-SUM($D23:M23)</f>
        <v>0</v>
      </c>
      <c r="O23" s="2">
        <f>'EV (Tiến độ lũy kế)'!O23*SUM('PV (Kế hoạch)'!$D23:$AA23)-SUM($D23:N23)</f>
        <v>0</v>
      </c>
      <c r="P23" s="2">
        <f>'EV (Tiến độ lũy kế)'!P23*SUM('PV (Kế hoạch)'!$D23:$AA23)-SUM($D23:O23)</f>
        <v>0</v>
      </c>
      <c r="Q23" s="2">
        <f>'EV (Tiến độ lũy kế)'!Q23*SUM('PV (Kế hoạch)'!$D23:$AA23)-SUM($D23:P23)</f>
        <v>0</v>
      </c>
      <c r="R23" s="2">
        <f>'EV (Tiến độ lũy kế)'!R23*SUM('PV (Kế hoạch)'!$D23:$AA23)-SUM($D23:Q23)</f>
        <v>0</v>
      </c>
      <c r="S23" s="2">
        <f>'EV (Tiến độ lũy kế)'!S23*SUM('PV (Kế hoạch)'!$D23:$AA23)-SUM($D23:R23)</f>
        <v>0</v>
      </c>
      <c r="T23" s="2">
        <f>'EV (Tiến độ lũy kế)'!T23*SUM('PV (Kế hoạch)'!$D23:$AA23)-SUM($D23:S23)</f>
        <v>0</v>
      </c>
      <c r="U23" s="2">
        <f>'EV (Tiến độ lũy kế)'!U23*SUM('PV (Kế hoạch)'!$D23:$AA23)-SUM($D23:T23)</f>
        <v>0</v>
      </c>
      <c r="V23" s="2">
        <f>'EV (Tiến độ lũy kế)'!V23*SUM('PV (Kế hoạch)'!$D23:$AA23)-SUM($D23:U23)</f>
        <v>0</v>
      </c>
      <c r="W23" s="2">
        <f>'EV (Tiến độ lũy kế)'!W23*SUM('PV (Kế hoạch)'!$D23:$AA23)-SUM($D23:V23)</f>
        <v>0</v>
      </c>
      <c r="X23" s="2">
        <f>'EV (Tiến độ lũy kế)'!X23*SUM('PV (Kế hoạch)'!$D23:$AA23)-SUM($D23:W23)</f>
        <v>0</v>
      </c>
      <c r="Y23" s="2">
        <f>'EV (Tiến độ lũy kế)'!Y23*SUM('PV (Kế hoạch)'!$D23:$AA23)-SUM($D23:X23)</f>
        <v>0</v>
      </c>
      <c r="Z23" s="2">
        <f>'EV (Tiến độ lũy kế)'!Z23*SUM('PV (Kế hoạch)'!$D23:$AA23)-SUM($D23:Y23)</f>
        <v>0</v>
      </c>
      <c r="AA23" s="2">
        <f>'EV (Tiến độ lũy kế)'!AA23*SUM('PV (Kế hoạch)'!$D23:$AA23)-SUM($D23:Z23)</f>
        <v>0</v>
      </c>
      <c r="AB23" s="5">
        <f t="shared" si="0"/>
        <v>0</v>
      </c>
    </row>
    <row r="24" spans="2:28" ht="21.95" customHeight="1">
      <c r="B24" s="2">
        <f>IF('PV (Kế hoạch)'!B24="","",'PV (Kế hoạch)'!B24)</f>
        <v>22</v>
      </c>
      <c r="C24" s="3" t="str">
        <f>IF('PV (Kế hoạch)'!C24="","",'PV (Kế hoạch)'!C24)</f>
        <v>Documentation</v>
      </c>
      <c r="D24" s="2">
        <f>'EV (Tiến độ lũy kế)'!D24*SUM('PV (Kế hoạch)'!$D24:$AA24)</f>
        <v>0</v>
      </c>
      <c r="E24" s="2">
        <f>'EV (Tiến độ lũy kế)'!E24*SUM('PV (Kế hoạch)'!$D24:$AA24)-SUM($D24:D24)</f>
        <v>0</v>
      </c>
      <c r="F24" s="2">
        <f>'EV (Tiến độ lũy kế)'!F24*SUM('PV (Kế hoạch)'!$D24:$AA24)-SUM($D24:E24)</f>
        <v>0</v>
      </c>
      <c r="G24" s="2">
        <f>'EV (Tiến độ lũy kế)'!G24*SUM('PV (Kế hoạch)'!$D24:$AA24)-SUM($D24:F24)</f>
        <v>0</v>
      </c>
      <c r="H24" s="2">
        <f>'EV (Tiến độ lũy kế)'!H24*SUM('PV (Kế hoạch)'!$D24:$AA24)-SUM($D24:G24)</f>
        <v>0</v>
      </c>
      <c r="I24" s="2">
        <f>'EV (Tiến độ lũy kế)'!I24*SUM('PV (Kế hoạch)'!$D24:$AA24)-SUM($D24:H24)</f>
        <v>0</v>
      </c>
      <c r="J24" s="2">
        <f>'EV (Tiến độ lũy kế)'!J24*SUM('PV (Kế hoạch)'!$D24:$AA24)-SUM($D24:I24)</f>
        <v>0</v>
      </c>
      <c r="K24" s="2">
        <f>'EV (Tiến độ lũy kế)'!K24*SUM('PV (Kế hoạch)'!$D24:$AA24)-SUM($D24:J24)</f>
        <v>0</v>
      </c>
      <c r="L24" s="2">
        <f>'EV (Tiến độ lũy kế)'!L24*SUM('PV (Kế hoạch)'!$D24:$AA24)-SUM($D24:K24)</f>
        <v>0</v>
      </c>
      <c r="M24" s="2">
        <f>'EV (Tiến độ lũy kế)'!M24*SUM('PV (Kế hoạch)'!$D24:$AA24)-SUM($D24:L24)</f>
        <v>0</v>
      </c>
      <c r="N24" s="2">
        <f>'EV (Tiến độ lũy kế)'!N24*SUM('PV (Kế hoạch)'!$D24:$AA24)-SUM($D24:M24)</f>
        <v>0</v>
      </c>
      <c r="O24" s="2">
        <f>'EV (Tiến độ lũy kế)'!O24*SUM('PV (Kế hoạch)'!$D24:$AA24)-SUM($D24:N24)</f>
        <v>0</v>
      </c>
      <c r="P24" s="2">
        <f>'EV (Tiến độ lũy kế)'!P24*SUM('PV (Kế hoạch)'!$D24:$AA24)-SUM($D24:O24)</f>
        <v>0</v>
      </c>
      <c r="Q24" s="2">
        <f>'EV (Tiến độ lũy kế)'!Q24*SUM('PV (Kế hoạch)'!$D24:$AA24)-SUM($D24:P24)</f>
        <v>0</v>
      </c>
      <c r="R24" s="2">
        <f>'EV (Tiến độ lũy kế)'!R24*SUM('PV (Kế hoạch)'!$D24:$AA24)-SUM($D24:Q24)</f>
        <v>0</v>
      </c>
      <c r="S24" s="2">
        <f>'EV (Tiến độ lũy kế)'!S24*SUM('PV (Kế hoạch)'!$D24:$AA24)-SUM($D24:R24)</f>
        <v>0</v>
      </c>
      <c r="T24" s="2">
        <f>'EV (Tiến độ lũy kế)'!T24*SUM('PV (Kế hoạch)'!$D24:$AA24)-SUM($D24:S24)</f>
        <v>0</v>
      </c>
      <c r="U24" s="2">
        <f>'EV (Tiến độ lũy kế)'!U24*SUM('PV (Kế hoạch)'!$D24:$AA24)-SUM($D24:T24)</f>
        <v>1.04</v>
      </c>
      <c r="V24" s="2">
        <f>'EV (Tiến độ lũy kế)'!V24*SUM('PV (Kế hoạch)'!$D24:$AA24)-SUM($D24:U24)</f>
        <v>0</v>
      </c>
      <c r="W24" s="2">
        <f>'EV (Tiến độ lũy kế)'!W24*SUM('PV (Kế hoạch)'!$D24:$AA24)-SUM($D24:V24)</f>
        <v>0</v>
      </c>
      <c r="X24" s="2">
        <f>'EV (Tiến độ lũy kế)'!X24*SUM('PV (Kế hoạch)'!$D24:$AA24)-SUM($D24:W24)</f>
        <v>0</v>
      </c>
      <c r="Y24" s="2">
        <f>'EV (Tiến độ lũy kế)'!Y24*SUM('PV (Kế hoạch)'!$D24:$AA24)-SUM($D24:X24)</f>
        <v>0</v>
      </c>
      <c r="Z24" s="2">
        <f>'EV (Tiến độ lũy kế)'!Z24*SUM('PV (Kế hoạch)'!$D24:$AA24)-SUM($D24:Y24)</f>
        <v>0</v>
      </c>
      <c r="AA24" s="2">
        <f>'EV (Tiến độ lũy kế)'!AA24*SUM('PV (Kế hoạch)'!$D24:$AA24)-SUM($D24:Z24)</f>
        <v>0</v>
      </c>
      <c r="AB24" s="5">
        <f t="shared" si="0"/>
        <v>1.04</v>
      </c>
    </row>
    <row r="25" spans="2:28" ht="21.95" customHeight="1">
      <c r="B25" s="2">
        <f>IF('PV (Kế hoạch)'!B25="","",'PV (Kế hoạch)'!B25)</f>
        <v>23</v>
      </c>
      <c r="C25" s="3" t="str">
        <f>IF('PV (Kế hoạch)'!C25="","",'PV (Kế hoạch)'!C25)</f>
        <v>Training</v>
      </c>
      <c r="D25" s="2">
        <f>'EV (Tiến độ lũy kế)'!D25*SUM('PV (Kế hoạch)'!$D25:$AA25)</f>
        <v>0</v>
      </c>
      <c r="E25" s="2">
        <f>'EV (Tiến độ lũy kế)'!E25*SUM('PV (Kế hoạch)'!$D25:$AA25)-SUM($D25:D25)</f>
        <v>0</v>
      </c>
      <c r="F25" s="2">
        <f>'EV (Tiến độ lũy kế)'!F25*SUM('PV (Kế hoạch)'!$D25:$AA25)-SUM($D25:E25)</f>
        <v>0</v>
      </c>
      <c r="G25" s="2">
        <f>'EV (Tiến độ lũy kế)'!G25*SUM('PV (Kế hoạch)'!$D25:$AA25)-SUM($D25:F25)</f>
        <v>0</v>
      </c>
      <c r="H25" s="2">
        <f>'EV (Tiến độ lũy kế)'!H25*SUM('PV (Kế hoạch)'!$D25:$AA25)-SUM($D25:G25)</f>
        <v>0</v>
      </c>
      <c r="I25" s="2">
        <f>'EV (Tiến độ lũy kế)'!I25*SUM('PV (Kế hoạch)'!$D25:$AA25)-SUM($D25:H25)</f>
        <v>0</v>
      </c>
      <c r="J25" s="2">
        <f>'EV (Tiến độ lũy kế)'!J25*SUM('PV (Kế hoạch)'!$D25:$AA25)-SUM($D25:I25)</f>
        <v>0</v>
      </c>
      <c r="K25" s="2">
        <f>'EV (Tiến độ lũy kế)'!K25*SUM('PV (Kế hoạch)'!$D25:$AA25)-SUM($D25:J25)</f>
        <v>0</v>
      </c>
      <c r="L25" s="2">
        <f>'EV (Tiến độ lũy kế)'!L25*SUM('PV (Kế hoạch)'!$D25:$AA25)-SUM($D25:K25)</f>
        <v>0</v>
      </c>
      <c r="M25" s="2">
        <f>'EV (Tiến độ lũy kế)'!M25*SUM('PV (Kế hoạch)'!$D25:$AA25)-SUM($D25:L25)</f>
        <v>0</v>
      </c>
      <c r="N25" s="2">
        <f>'EV (Tiến độ lũy kế)'!N25*SUM('PV (Kế hoạch)'!$D25:$AA25)-SUM($D25:M25)</f>
        <v>0</v>
      </c>
      <c r="O25" s="2">
        <f>'EV (Tiến độ lũy kế)'!O25*SUM('PV (Kế hoạch)'!$D25:$AA25)-SUM($D25:N25)</f>
        <v>0</v>
      </c>
      <c r="P25" s="2">
        <f>'EV (Tiến độ lũy kế)'!P25*SUM('PV (Kế hoạch)'!$D25:$AA25)-SUM($D25:O25)</f>
        <v>0</v>
      </c>
      <c r="Q25" s="2">
        <f>'EV (Tiến độ lũy kế)'!Q25*SUM('PV (Kế hoạch)'!$D25:$AA25)-SUM($D25:P25)</f>
        <v>0</v>
      </c>
      <c r="R25" s="2">
        <f>'EV (Tiến độ lũy kế)'!R25*SUM('PV (Kế hoạch)'!$D25:$AA25)-SUM($D25:Q25)</f>
        <v>0</v>
      </c>
      <c r="S25" s="2">
        <f>'EV (Tiến độ lũy kế)'!S25*SUM('PV (Kế hoạch)'!$D25:$AA25)-SUM($D25:R25)</f>
        <v>0</v>
      </c>
      <c r="T25" s="2">
        <f>'EV (Tiến độ lũy kế)'!T25*SUM('PV (Kế hoạch)'!$D25:$AA25)-SUM($D25:S25)</f>
        <v>0</v>
      </c>
      <c r="U25" s="2">
        <f>'EV (Tiến độ lũy kế)'!U25*SUM('PV (Kế hoạch)'!$D25:$AA25)-SUM($D25:T25)</f>
        <v>0</v>
      </c>
      <c r="V25" s="2">
        <f>'EV (Tiến độ lũy kế)'!V25*SUM('PV (Kế hoạch)'!$D25:$AA25)-SUM($D25:U25)</f>
        <v>0</v>
      </c>
      <c r="W25" s="2">
        <f>'EV (Tiến độ lũy kế)'!W25*SUM('PV (Kế hoạch)'!$D25:$AA25)-SUM($D25:V25)</f>
        <v>0</v>
      </c>
      <c r="X25" s="2">
        <f>'EV (Tiến độ lũy kế)'!X25*SUM('PV (Kế hoạch)'!$D25:$AA25)-SUM($D25:W25)</f>
        <v>0</v>
      </c>
      <c r="Y25" s="2">
        <f>'EV (Tiến độ lũy kế)'!Y25*SUM('PV (Kế hoạch)'!$D25:$AA25)-SUM($D25:X25)</f>
        <v>0</v>
      </c>
      <c r="Z25" s="2">
        <f>'EV (Tiến độ lũy kế)'!Z25*SUM('PV (Kế hoạch)'!$D25:$AA25)-SUM($D25:Y25)</f>
        <v>0</v>
      </c>
      <c r="AA25" s="2">
        <f>'EV (Tiến độ lũy kế)'!AA25*SUM('PV (Kế hoạch)'!$D25:$AA25)-SUM($D25:Z25)</f>
        <v>0</v>
      </c>
      <c r="AB25" s="5">
        <f t="shared" si="0"/>
        <v>0</v>
      </c>
    </row>
    <row r="26" spans="2:28" ht="21.95" customHeight="1">
      <c r="B26" s="2">
        <f>IF('PV (Kế hoạch)'!B26="","",'PV (Kế hoạch)'!B26)</f>
        <v>24</v>
      </c>
      <c r="C26" s="3" t="str">
        <f>IF('PV (Kế hoạch)'!C26="","",'PV (Kế hoạch)'!C26)</f>
        <v>Deployment</v>
      </c>
      <c r="D26" s="2">
        <f>'EV (Tiến độ lũy kế)'!D26*SUM('PV (Kế hoạch)'!$D26:$AA26)</f>
        <v>0</v>
      </c>
      <c r="E26" s="2">
        <f>'EV (Tiến độ lũy kế)'!E26*SUM('PV (Kế hoạch)'!$D26:$AA26)-SUM($D26:D26)</f>
        <v>0</v>
      </c>
      <c r="F26" s="2">
        <f>'EV (Tiến độ lũy kế)'!F26*SUM('PV (Kế hoạch)'!$D26:$AA26)-SUM($D26:E26)</f>
        <v>0</v>
      </c>
      <c r="G26" s="2">
        <f>'EV (Tiến độ lũy kế)'!G26*SUM('PV (Kế hoạch)'!$D26:$AA26)-SUM($D26:F26)</f>
        <v>0</v>
      </c>
      <c r="H26" s="2">
        <f>'EV (Tiến độ lũy kế)'!H26*SUM('PV (Kế hoạch)'!$D26:$AA26)-SUM($D26:G26)</f>
        <v>0</v>
      </c>
      <c r="I26" s="2">
        <f>'EV (Tiến độ lũy kế)'!I26*SUM('PV (Kế hoạch)'!$D26:$AA26)-SUM($D26:H26)</f>
        <v>0</v>
      </c>
      <c r="J26" s="2">
        <f>'EV (Tiến độ lũy kế)'!J26*SUM('PV (Kế hoạch)'!$D26:$AA26)-SUM($D26:I26)</f>
        <v>0</v>
      </c>
      <c r="K26" s="2">
        <f>'EV (Tiến độ lũy kế)'!K26*SUM('PV (Kế hoạch)'!$D26:$AA26)-SUM($D26:J26)</f>
        <v>0</v>
      </c>
      <c r="L26" s="2">
        <f>'EV (Tiến độ lũy kế)'!L26*SUM('PV (Kế hoạch)'!$D26:$AA26)-SUM($D26:K26)</f>
        <v>0</v>
      </c>
      <c r="M26" s="2">
        <f>'EV (Tiến độ lũy kế)'!M26*SUM('PV (Kế hoạch)'!$D26:$AA26)-SUM($D26:L26)</f>
        <v>0</v>
      </c>
      <c r="N26" s="2">
        <f>'EV (Tiến độ lũy kế)'!N26*SUM('PV (Kế hoạch)'!$D26:$AA26)-SUM($D26:M26)</f>
        <v>0</v>
      </c>
      <c r="O26" s="2">
        <f>'EV (Tiến độ lũy kế)'!O26*SUM('PV (Kế hoạch)'!$D26:$AA26)-SUM($D26:N26)</f>
        <v>0</v>
      </c>
      <c r="P26" s="2">
        <f>'EV (Tiến độ lũy kế)'!P26*SUM('PV (Kế hoạch)'!$D26:$AA26)-SUM($D26:O26)</f>
        <v>0</v>
      </c>
      <c r="Q26" s="2">
        <f>'EV (Tiến độ lũy kế)'!Q26*SUM('PV (Kế hoạch)'!$D26:$AA26)-SUM($D26:P26)</f>
        <v>0</v>
      </c>
      <c r="R26" s="2">
        <f>'EV (Tiến độ lũy kế)'!R26*SUM('PV (Kế hoạch)'!$D26:$AA26)-SUM($D26:Q26)</f>
        <v>0</v>
      </c>
      <c r="S26" s="2">
        <f>'EV (Tiến độ lũy kế)'!S26*SUM('PV (Kế hoạch)'!$D26:$AA26)-SUM($D26:R26)</f>
        <v>0</v>
      </c>
      <c r="T26" s="2">
        <f>'EV (Tiến độ lũy kế)'!T26*SUM('PV (Kế hoạch)'!$D26:$AA26)-SUM($D26:S26)</f>
        <v>0</v>
      </c>
      <c r="U26" s="2">
        <f>'EV (Tiến độ lũy kế)'!U26*SUM('PV (Kế hoạch)'!$D26:$AA26)-SUM($D26:T26)</f>
        <v>0</v>
      </c>
      <c r="V26" s="2">
        <f>'EV (Tiến độ lũy kế)'!V26*SUM('PV (Kế hoạch)'!$D26:$AA26)-SUM($D26:U26)</f>
        <v>0</v>
      </c>
      <c r="W26" s="2">
        <f>'EV (Tiến độ lũy kế)'!W26*SUM('PV (Kế hoạch)'!$D26:$AA26)-SUM($D26:V26)</f>
        <v>0</v>
      </c>
      <c r="X26" s="2">
        <f>'EV (Tiến độ lũy kế)'!X26*SUM('PV (Kế hoạch)'!$D26:$AA26)-SUM($D26:W26)</f>
        <v>0</v>
      </c>
      <c r="Y26" s="2">
        <f>'EV (Tiến độ lũy kế)'!Y26*SUM('PV (Kế hoạch)'!$D26:$AA26)-SUM($D26:X26)</f>
        <v>0</v>
      </c>
      <c r="Z26" s="2">
        <f>'EV (Tiến độ lũy kế)'!Z26*SUM('PV (Kế hoạch)'!$D26:$AA26)-SUM($D26:Y26)</f>
        <v>0</v>
      </c>
      <c r="AA26" s="2">
        <f>'EV (Tiến độ lũy kế)'!AA26*SUM('PV (Kế hoạch)'!$D26:$AA26)-SUM($D26:Z26)</f>
        <v>0</v>
      </c>
      <c r="AB26" s="5">
        <f t="shared" si="0"/>
        <v>0</v>
      </c>
    </row>
    <row r="27" spans="2:28" ht="21.95" customHeight="1">
      <c r="B27" s="2">
        <f>IF('PV (Kế hoạch)'!B27="","",'PV (Kế hoạch)'!B27)</f>
        <v>25</v>
      </c>
      <c r="C27" s="3" t="str">
        <f>IF('PV (Kế hoạch)'!C27="","",'PV (Kế hoạch)'!C27)</f>
        <v>Go-live Support</v>
      </c>
      <c r="D27" s="2">
        <f>'EV (Tiến độ lũy kế)'!D27*SUM('PV (Kế hoạch)'!$D27:$AA27)</f>
        <v>0</v>
      </c>
      <c r="E27" s="2">
        <f>'EV (Tiến độ lũy kế)'!E27*SUM('PV (Kế hoạch)'!$D27:$AA27)-SUM($D27:D27)</f>
        <v>0</v>
      </c>
      <c r="F27" s="2">
        <f>'EV (Tiến độ lũy kế)'!F27*SUM('PV (Kế hoạch)'!$D27:$AA27)-SUM($D27:E27)</f>
        <v>0</v>
      </c>
      <c r="G27" s="2">
        <f>'EV (Tiến độ lũy kế)'!G27*SUM('PV (Kế hoạch)'!$D27:$AA27)-SUM($D27:F27)</f>
        <v>0</v>
      </c>
      <c r="H27" s="2">
        <f>'EV (Tiến độ lũy kế)'!H27*SUM('PV (Kế hoạch)'!$D27:$AA27)-SUM($D27:G27)</f>
        <v>0</v>
      </c>
      <c r="I27" s="2">
        <f>'EV (Tiến độ lũy kế)'!I27*SUM('PV (Kế hoạch)'!$D27:$AA27)-SUM($D27:H27)</f>
        <v>0</v>
      </c>
      <c r="J27" s="2">
        <f>'EV (Tiến độ lũy kế)'!J27*SUM('PV (Kế hoạch)'!$D27:$AA27)-SUM($D27:I27)</f>
        <v>0</v>
      </c>
      <c r="K27" s="2">
        <f>'EV (Tiến độ lũy kế)'!K27*SUM('PV (Kế hoạch)'!$D27:$AA27)-SUM($D27:J27)</f>
        <v>0</v>
      </c>
      <c r="L27" s="2">
        <f>'EV (Tiến độ lũy kế)'!L27*SUM('PV (Kế hoạch)'!$D27:$AA27)-SUM($D27:K27)</f>
        <v>0</v>
      </c>
      <c r="M27" s="2">
        <f>'EV (Tiến độ lũy kế)'!M27*SUM('PV (Kế hoạch)'!$D27:$AA27)-SUM($D27:L27)</f>
        <v>0</v>
      </c>
      <c r="N27" s="2">
        <f>'EV (Tiến độ lũy kế)'!N27*SUM('PV (Kế hoạch)'!$D27:$AA27)-SUM($D27:M27)</f>
        <v>0</v>
      </c>
      <c r="O27" s="2">
        <f>'EV (Tiến độ lũy kế)'!O27*SUM('PV (Kế hoạch)'!$D27:$AA27)-SUM($D27:N27)</f>
        <v>0</v>
      </c>
      <c r="P27" s="2">
        <f>'EV (Tiến độ lũy kế)'!P27*SUM('PV (Kế hoạch)'!$D27:$AA27)-SUM($D27:O27)</f>
        <v>0</v>
      </c>
      <c r="Q27" s="2">
        <f>'EV (Tiến độ lũy kế)'!Q27*SUM('PV (Kế hoạch)'!$D27:$AA27)-SUM($D27:P27)</f>
        <v>0</v>
      </c>
      <c r="R27" s="2">
        <f>'EV (Tiến độ lũy kế)'!R27*SUM('PV (Kế hoạch)'!$D27:$AA27)-SUM($D27:Q27)</f>
        <v>0</v>
      </c>
      <c r="S27" s="2">
        <f>'EV (Tiến độ lũy kế)'!S27*SUM('PV (Kế hoạch)'!$D27:$AA27)-SUM($D27:R27)</f>
        <v>0</v>
      </c>
      <c r="T27" s="2">
        <f>'EV (Tiến độ lũy kế)'!T27*SUM('PV (Kế hoạch)'!$D27:$AA27)-SUM($D27:S27)</f>
        <v>0</v>
      </c>
      <c r="U27" s="2">
        <f>'EV (Tiến độ lũy kế)'!U27*SUM('PV (Kế hoạch)'!$D27:$AA27)-SUM($D27:T27)</f>
        <v>0</v>
      </c>
      <c r="V27" s="2">
        <f>'EV (Tiến độ lũy kế)'!V27*SUM('PV (Kế hoạch)'!$D27:$AA27)-SUM($D27:U27)</f>
        <v>0</v>
      </c>
      <c r="W27" s="2">
        <f>'EV (Tiến độ lũy kế)'!W27*SUM('PV (Kế hoạch)'!$D27:$AA27)-SUM($D27:V27)</f>
        <v>0</v>
      </c>
      <c r="X27" s="2">
        <f>'EV (Tiến độ lũy kế)'!X27*SUM('PV (Kế hoạch)'!$D27:$AA27)-SUM($D27:W27)</f>
        <v>0</v>
      </c>
      <c r="Y27" s="2">
        <f>'EV (Tiến độ lũy kế)'!Y27*SUM('PV (Kế hoạch)'!$D27:$AA27)-SUM($D27:X27)</f>
        <v>0</v>
      </c>
      <c r="Z27" s="2">
        <f>'EV (Tiến độ lũy kế)'!Z27*SUM('PV (Kế hoạch)'!$D27:$AA27)-SUM($D27:Y27)</f>
        <v>0</v>
      </c>
      <c r="AA27" s="2">
        <f>'EV (Tiến độ lũy kế)'!AA27*SUM('PV (Kế hoạch)'!$D27:$AA27)-SUM($D27:Z27)</f>
        <v>0</v>
      </c>
      <c r="AB27" s="5">
        <f t="shared" si="0"/>
        <v>0</v>
      </c>
    </row>
    <row r="28" spans="2:28" ht="21.95" customHeight="1">
      <c r="B28" s="2">
        <f>IF('PV (Kế hoạch)'!B28="","",'PV (Kế hoạch)'!B28)</f>
        <v>26</v>
      </c>
      <c r="C28" s="3" t="str">
        <f>IF('PV (Kế hoạch)'!C28="","",'PV (Kế hoạch)'!C28)</f>
        <v/>
      </c>
      <c r="D28" s="2"/>
      <c r="E28" s="2"/>
      <c r="F28" s="2"/>
      <c r="G28" s="2"/>
      <c r="H28" s="2"/>
      <c r="I28" s="2"/>
      <c r="J28" s="2"/>
      <c r="K28" s="2"/>
      <c r="L28" s="2"/>
      <c r="M28" s="2"/>
      <c r="N28" s="2"/>
      <c r="O28" s="2"/>
      <c r="P28" s="2"/>
      <c r="Q28" s="2"/>
      <c r="R28" s="2"/>
      <c r="S28" s="2"/>
      <c r="T28" s="2"/>
      <c r="U28" s="2"/>
      <c r="V28" s="2"/>
      <c r="W28" s="2"/>
      <c r="X28" s="2"/>
      <c r="Y28" s="2"/>
      <c r="Z28" s="2"/>
      <c r="AA28" s="2"/>
      <c r="AB28" s="5">
        <f t="shared" si="0"/>
        <v>0</v>
      </c>
    </row>
    <row r="29" spans="2:28" ht="21.95" customHeight="1">
      <c r="B29" s="2">
        <f>IF('PV (Kế hoạch)'!B29="","",'PV (Kế hoạch)'!B29)</f>
        <v>27</v>
      </c>
      <c r="C29" s="3" t="str">
        <f>IF('PV (Kế hoạch)'!C29="","",'PV (Kế hoạch)'!C29)</f>
        <v/>
      </c>
      <c r="D29" s="2"/>
      <c r="E29" s="2"/>
      <c r="F29" s="2"/>
      <c r="G29" s="2"/>
      <c r="H29" s="2"/>
      <c r="I29" s="2"/>
      <c r="J29" s="2"/>
      <c r="K29" s="2"/>
      <c r="L29" s="2"/>
      <c r="M29" s="2"/>
      <c r="N29" s="2"/>
      <c r="O29" s="2"/>
      <c r="P29" s="2"/>
      <c r="Q29" s="2"/>
      <c r="R29" s="2"/>
      <c r="S29" s="2"/>
      <c r="T29" s="2"/>
      <c r="U29" s="2"/>
      <c r="V29" s="2"/>
      <c r="W29" s="2"/>
      <c r="X29" s="2"/>
      <c r="Y29" s="2"/>
      <c r="Z29" s="2"/>
      <c r="AA29" s="2"/>
      <c r="AB29" s="5">
        <f t="shared" si="0"/>
        <v>0</v>
      </c>
    </row>
    <row r="30" spans="2:28" ht="21.95" customHeight="1">
      <c r="B30" s="2">
        <f>IF('PV (Kế hoạch)'!B30="","",'PV (Kế hoạch)'!B30)</f>
        <v>28</v>
      </c>
      <c r="C30" s="3" t="str">
        <f>IF('PV (Kế hoạch)'!C30="","",'PV (Kế hoạch)'!C30)</f>
        <v/>
      </c>
      <c r="D30" s="2"/>
      <c r="E30" s="2"/>
      <c r="F30" s="2"/>
      <c r="G30" s="2"/>
      <c r="H30" s="2"/>
      <c r="I30" s="2"/>
      <c r="J30" s="2"/>
      <c r="K30" s="2"/>
      <c r="L30" s="2"/>
      <c r="M30" s="2"/>
      <c r="N30" s="2"/>
      <c r="O30" s="2"/>
      <c r="P30" s="2"/>
      <c r="Q30" s="2"/>
      <c r="R30" s="2"/>
      <c r="S30" s="2"/>
      <c r="T30" s="2"/>
      <c r="U30" s="2"/>
      <c r="V30" s="2"/>
      <c r="W30" s="2"/>
      <c r="X30" s="2"/>
      <c r="Y30" s="2"/>
      <c r="Z30" s="2"/>
      <c r="AA30" s="2"/>
      <c r="AB30" s="5">
        <f t="shared" si="0"/>
        <v>0</v>
      </c>
    </row>
    <row r="31" spans="2:28" ht="21.95" customHeight="1">
      <c r="B31" s="2">
        <f>IF('PV (Kế hoạch)'!B31="","",'PV (Kế hoạch)'!B31)</f>
        <v>29</v>
      </c>
      <c r="C31" s="3" t="str">
        <f>IF('PV (Kế hoạch)'!C31="","",'PV (Kế hoạch)'!C31)</f>
        <v/>
      </c>
      <c r="D31" s="2"/>
      <c r="E31" s="2"/>
      <c r="F31" s="2"/>
      <c r="G31" s="2"/>
      <c r="H31" s="2"/>
      <c r="I31" s="2"/>
      <c r="J31" s="2"/>
      <c r="K31" s="2"/>
      <c r="L31" s="2"/>
      <c r="M31" s="2"/>
      <c r="N31" s="2"/>
      <c r="O31" s="2"/>
      <c r="P31" s="2"/>
      <c r="Q31" s="2"/>
      <c r="R31" s="2"/>
      <c r="S31" s="2"/>
      <c r="T31" s="2"/>
      <c r="U31" s="2"/>
      <c r="V31" s="2"/>
      <c r="W31" s="2"/>
      <c r="X31" s="2"/>
      <c r="Y31" s="2"/>
      <c r="Z31" s="2"/>
      <c r="AA31" s="2"/>
      <c r="AB31" s="5">
        <f t="shared" si="0"/>
        <v>0</v>
      </c>
    </row>
    <row r="32" spans="2:28" ht="28.5" customHeight="1">
      <c r="B32" s="27" t="str">
        <f>IF('PV (Kế hoạch)'!B32="","",'PV (Kế hoạch)'!B32)</f>
        <v/>
      </c>
      <c r="C32" s="28" t="str">
        <f>IF('PV (Kế hoạch)'!C32="","",'PV (Kế hoạch)'!C32)</f>
        <v>Không chèn thêm dòng vào dưới dòng này</v>
      </c>
      <c r="D32" s="27"/>
      <c r="E32" s="27"/>
      <c r="F32" s="27"/>
      <c r="G32" s="27"/>
      <c r="H32" s="27"/>
      <c r="I32" s="27"/>
      <c r="J32" s="27"/>
      <c r="K32" s="27"/>
      <c r="L32" s="27"/>
      <c r="M32" s="27"/>
      <c r="N32" s="27"/>
      <c r="O32" s="27"/>
      <c r="P32" s="27"/>
      <c r="Q32" s="27"/>
      <c r="R32" s="27"/>
      <c r="S32" s="27"/>
      <c r="T32" s="27"/>
      <c r="U32" s="27"/>
      <c r="V32" s="27"/>
      <c r="W32" s="27"/>
      <c r="X32" s="27"/>
      <c r="Y32" s="27"/>
      <c r="Z32" s="27"/>
      <c r="AA32" s="27"/>
      <c r="AB32" s="27">
        <f t="shared" si="0"/>
        <v>0</v>
      </c>
    </row>
    <row r="33" spans="2:28" ht="21.95" customHeight="1">
      <c r="B33" s="18"/>
      <c r="C33" s="19" t="s">
        <v>122</v>
      </c>
      <c r="D33" s="7">
        <f t="shared" ref="D33:AB33" si="1">SUM(D3:D32)</f>
        <v>4.9400000000000004</v>
      </c>
      <c r="E33" s="7">
        <f t="shared" si="1"/>
        <v>5.0699999999999994</v>
      </c>
      <c r="F33" s="7">
        <f t="shared" si="1"/>
        <v>5.99</v>
      </c>
      <c r="G33" s="7">
        <f t="shared" si="1"/>
        <v>8.9499999999999993</v>
      </c>
      <c r="H33" s="7">
        <f t="shared" si="1"/>
        <v>11.14</v>
      </c>
      <c r="I33" s="7">
        <f t="shared" si="1"/>
        <v>9.91</v>
      </c>
      <c r="J33" s="7">
        <f t="shared" si="1"/>
        <v>9</v>
      </c>
      <c r="K33" s="7">
        <f t="shared" si="1"/>
        <v>10.039999999999999</v>
      </c>
      <c r="L33" s="7">
        <f t="shared" si="1"/>
        <v>14.91</v>
      </c>
      <c r="M33" s="7">
        <f t="shared" si="1"/>
        <v>16.099999999999998</v>
      </c>
      <c r="N33" s="7">
        <f t="shared" si="1"/>
        <v>17.909999999999997</v>
      </c>
      <c r="O33" s="7">
        <f t="shared" si="1"/>
        <v>19.11</v>
      </c>
      <c r="P33" s="7">
        <f t="shared" si="1"/>
        <v>17.98</v>
      </c>
      <c r="Q33" s="7">
        <f t="shared" si="1"/>
        <v>16.91</v>
      </c>
      <c r="R33" s="7">
        <f t="shared" si="1"/>
        <v>15.120000000000003</v>
      </c>
      <c r="S33" s="7">
        <f t="shared" si="1"/>
        <v>11.879999999999999</v>
      </c>
      <c r="T33" s="7">
        <f t="shared" si="1"/>
        <v>8.0800000000000018</v>
      </c>
      <c r="U33" s="7">
        <f t="shared" si="1"/>
        <v>6.04</v>
      </c>
      <c r="V33" s="7">
        <f t="shared" si="1"/>
        <v>0</v>
      </c>
      <c r="W33" s="7">
        <f t="shared" si="1"/>
        <v>0</v>
      </c>
      <c r="X33" s="7">
        <f t="shared" si="1"/>
        <v>0</v>
      </c>
      <c r="Y33" s="7">
        <f t="shared" si="1"/>
        <v>0</v>
      </c>
      <c r="Z33" s="7">
        <f t="shared" si="1"/>
        <v>0</v>
      </c>
      <c r="AA33" s="7">
        <f t="shared" si="1"/>
        <v>0</v>
      </c>
      <c r="AB33" s="7">
        <f t="shared" si="1"/>
        <v>209.07999999999998</v>
      </c>
    </row>
    <row r="34" spans="2:28" ht="21.95" customHeight="1">
      <c r="B34" s="18"/>
      <c r="C34" s="20" t="s">
        <v>123</v>
      </c>
      <c r="D34" s="9">
        <f>D33</f>
        <v>4.9400000000000004</v>
      </c>
      <c r="E34" s="9">
        <f t="shared" ref="E34:AA34" si="2">D34+E33</f>
        <v>10.01</v>
      </c>
      <c r="F34" s="9">
        <f t="shared" si="2"/>
        <v>16</v>
      </c>
      <c r="G34" s="9">
        <f t="shared" si="2"/>
        <v>24.95</v>
      </c>
      <c r="H34" s="9">
        <f t="shared" si="2"/>
        <v>36.090000000000003</v>
      </c>
      <c r="I34" s="9">
        <f t="shared" si="2"/>
        <v>46</v>
      </c>
      <c r="J34" s="9">
        <f t="shared" si="2"/>
        <v>55</v>
      </c>
      <c r="K34" s="9">
        <f t="shared" si="2"/>
        <v>65.039999999999992</v>
      </c>
      <c r="L34" s="9">
        <f t="shared" si="2"/>
        <v>79.949999999999989</v>
      </c>
      <c r="M34" s="9">
        <f t="shared" si="2"/>
        <v>96.049999999999983</v>
      </c>
      <c r="N34" s="9">
        <f t="shared" si="2"/>
        <v>113.95999999999998</v>
      </c>
      <c r="O34" s="9">
        <f t="shared" si="2"/>
        <v>133.07</v>
      </c>
      <c r="P34" s="9">
        <f t="shared" si="2"/>
        <v>151.04999999999998</v>
      </c>
      <c r="Q34" s="9">
        <f t="shared" si="2"/>
        <v>167.95999999999998</v>
      </c>
      <c r="R34" s="9">
        <f t="shared" si="2"/>
        <v>183.07999999999998</v>
      </c>
      <c r="S34" s="9">
        <f t="shared" si="2"/>
        <v>194.95999999999998</v>
      </c>
      <c r="T34" s="9">
        <f t="shared" si="2"/>
        <v>203.04</v>
      </c>
      <c r="U34" s="9">
        <f t="shared" si="2"/>
        <v>209.07999999999998</v>
      </c>
      <c r="V34" s="9">
        <f t="shared" si="2"/>
        <v>209.07999999999998</v>
      </c>
      <c r="W34" s="9">
        <f t="shared" si="2"/>
        <v>209.07999999999998</v>
      </c>
      <c r="X34" s="9">
        <f t="shared" si="2"/>
        <v>209.07999999999998</v>
      </c>
      <c r="Y34" s="9">
        <f t="shared" si="2"/>
        <v>209.07999999999998</v>
      </c>
      <c r="Z34" s="9">
        <f t="shared" si="2"/>
        <v>209.07999999999998</v>
      </c>
      <c r="AA34" s="9">
        <f t="shared" si="2"/>
        <v>209.07999999999998</v>
      </c>
    </row>
    <row r="35" spans="2:28" ht="21.95" customHeight="1"/>
    <row r="36" spans="2:28" ht="21.95" customHeight="1"/>
    <row r="37" spans="2:28" ht="21.95" customHeight="1"/>
    <row r="38" spans="2:28" ht="21.95" customHeight="1"/>
    <row r="39" spans="2:28" ht="21.95" customHeight="1"/>
  </sheetData>
  <mergeCells count="1">
    <mergeCell ref="B1:AB1"/>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AB39"/>
  <sheetViews>
    <sheetView zoomScale="70" zoomScaleNormal="70" workbookViewId="0">
      <pane xSplit="3" ySplit="2" topLeftCell="D3" activePane="bottomRight" state="frozen"/>
      <selection pane="bottomRight" activeCell="I12" sqref="I12"/>
      <selection pane="bottomLeft" activeCell="I12" sqref="I12"/>
      <selection pane="topRight" activeCell="I12" sqref="I12"/>
    </sheetView>
  </sheetViews>
  <sheetFormatPr defaultRowHeight="14.45"/>
  <cols>
    <col min="1" max="1" width="0.7109375" customWidth="1"/>
    <col min="2" max="2" width="6" customWidth="1"/>
    <col min="3" max="3" width="45" customWidth="1"/>
    <col min="4" max="28" width="8" customWidth="1"/>
  </cols>
  <sheetData>
    <row r="1" spans="2:28" ht="30" customHeight="1">
      <c r="B1" s="29" t="s">
        <v>131</v>
      </c>
      <c r="C1" s="39"/>
      <c r="D1" s="39"/>
      <c r="E1" s="39"/>
      <c r="F1" s="39"/>
      <c r="G1" s="39"/>
      <c r="H1" s="39"/>
      <c r="I1" s="39"/>
      <c r="J1" s="39"/>
      <c r="K1" s="39"/>
      <c r="L1" s="39"/>
      <c r="M1" s="39"/>
      <c r="N1" s="39"/>
      <c r="O1" s="39"/>
      <c r="P1" s="39"/>
      <c r="Q1" s="39"/>
      <c r="R1" s="39"/>
      <c r="S1" s="39"/>
      <c r="T1" s="39"/>
      <c r="U1" s="39"/>
      <c r="V1" s="39"/>
      <c r="W1" s="39"/>
      <c r="X1" s="39"/>
      <c r="Y1" s="39"/>
      <c r="Z1" s="39"/>
      <c r="AA1" s="39"/>
      <c r="AB1" s="39"/>
    </row>
    <row r="2" spans="2:28" ht="21.95" customHeight="1">
      <c r="B2" s="1" t="s">
        <v>2</v>
      </c>
      <c r="C2" s="1" t="s">
        <v>70</v>
      </c>
      <c r="D2" s="1" t="s">
        <v>125</v>
      </c>
      <c r="E2" s="1" t="s">
        <v>72</v>
      </c>
      <c r="F2" s="1" t="s">
        <v>73</v>
      </c>
      <c r="G2" s="1" t="s">
        <v>74</v>
      </c>
      <c r="H2" s="1" t="s">
        <v>75</v>
      </c>
      <c r="I2" s="1" t="s">
        <v>76</v>
      </c>
      <c r="J2" s="1" t="s">
        <v>77</v>
      </c>
      <c r="K2" s="1" t="s">
        <v>78</v>
      </c>
      <c r="L2" s="1" t="s">
        <v>79</v>
      </c>
      <c r="M2" s="1" t="s">
        <v>80</v>
      </c>
      <c r="N2" s="1" t="s">
        <v>81</v>
      </c>
      <c r="O2" s="1" t="s">
        <v>82</v>
      </c>
      <c r="P2" s="1" t="s">
        <v>83</v>
      </c>
      <c r="Q2" s="1" t="s">
        <v>84</v>
      </c>
      <c r="R2" s="1" t="s">
        <v>85</v>
      </c>
      <c r="S2" s="1" t="s">
        <v>86</v>
      </c>
      <c r="T2" s="1" t="s">
        <v>87</v>
      </c>
      <c r="U2" s="1" t="s">
        <v>88</v>
      </c>
      <c r="V2" s="1" t="s">
        <v>89</v>
      </c>
      <c r="W2" s="1" t="s">
        <v>90</v>
      </c>
      <c r="X2" s="1" t="s">
        <v>91</v>
      </c>
      <c r="Y2" s="1" t="s">
        <v>92</v>
      </c>
      <c r="Z2" s="1" t="s">
        <v>93</v>
      </c>
      <c r="AA2" s="1" t="s">
        <v>94</v>
      </c>
      <c r="AB2" s="1" t="s">
        <v>95</v>
      </c>
    </row>
    <row r="3" spans="2:28" ht="21.95" customHeight="1">
      <c r="B3" s="2">
        <v>1</v>
      </c>
      <c r="C3" s="3" t="s">
        <v>96</v>
      </c>
      <c r="D3" s="2">
        <v>5</v>
      </c>
      <c r="E3" s="2">
        <v>6</v>
      </c>
      <c r="F3" s="2">
        <v>4</v>
      </c>
      <c r="G3" s="2"/>
      <c r="H3" s="2"/>
      <c r="I3" s="2"/>
      <c r="J3" s="2"/>
      <c r="K3" s="2"/>
      <c r="L3" s="2"/>
      <c r="M3" s="2"/>
      <c r="N3" s="2"/>
      <c r="O3" s="2"/>
      <c r="P3" s="2"/>
      <c r="Q3" s="2"/>
      <c r="R3" s="2"/>
      <c r="S3" s="2"/>
      <c r="T3" s="2"/>
      <c r="U3" s="2"/>
      <c r="V3" s="2"/>
      <c r="W3" s="2"/>
      <c r="X3" s="2"/>
      <c r="Y3" s="2"/>
      <c r="Z3" s="2"/>
      <c r="AA3" s="2"/>
      <c r="AB3" s="5">
        <f t="shared" ref="AB3:AB32" si="0">SUM(D3:AA3)</f>
        <v>15</v>
      </c>
    </row>
    <row r="4" spans="2:28" ht="21.95" customHeight="1">
      <c r="B4" s="2">
        <v>2</v>
      </c>
      <c r="C4" s="3" t="s">
        <v>97</v>
      </c>
      <c r="D4" s="2"/>
      <c r="E4" s="2"/>
      <c r="F4" s="2">
        <v>3</v>
      </c>
      <c r="G4" s="2">
        <v>6</v>
      </c>
      <c r="H4" s="2">
        <v>6</v>
      </c>
      <c r="I4" s="2">
        <v>3</v>
      </c>
      <c r="J4" s="2"/>
      <c r="K4" s="2"/>
      <c r="L4" s="2"/>
      <c r="M4" s="2"/>
      <c r="N4" s="2"/>
      <c r="O4" s="2"/>
      <c r="P4" s="2"/>
      <c r="Q4" s="2"/>
      <c r="R4" s="2"/>
      <c r="S4" s="2"/>
      <c r="T4" s="2"/>
      <c r="U4" s="2"/>
      <c r="V4" s="2"/>
      <c r="W4" s="2"/>
      <c r="X4" s="2"/>
      <c r="Y4" s="2"/>
      <c r="Z4" s="2"/>
      <c r="AA4" s="2"/>
      <c r="AB4" s="5">
        <f t="shared" si="0"/>
        <v>18</v>
      </c>
    </row>
    <row r="5" spans="2:28" ht="21.95" customHeight="1">
      <c r="B5" s="2">
        <v>3</v>
      </c>
      <c r="C5" s="3" t="s">
        <v>98</v>
      </c>
      <c r="D5" s="2"/>
      <c r="E5" s="2"/>
      <c r="F5" s="2"/>
      <c r="G5" s="2">
        <v>3</v>
      </c>
      <c r="H5" s="2">
        <v>3</v>
      </c>
      <c r="I5" s="2">
        <v>4</v>
      </c>
      <c r="J5" s="2"/>
      <c r="K5" s="2"/>
      <c r="L5" s="2"/>
      <c r="M5" s="2"/>
      <c r="N5" s="2"/>
      <c r="O5" s="2"/>
      <c r="P5" s="2"/>
      <c r="Q5" s="2"/>
      <c r="R5" s="2"/>
      <c r="S5" s="2"/>
      <c r="T5" s="2"/>
      <c r="U5" s="2"/>
      <c r="V5" s="2"/>
      <c r="W5" s="2"/>
      <c r="X5" s="2"/>
      <c r="Y5" s="2"/>
      <c r="Z5" s="2"/>
      <c r="AA5" s="2"/>
      <c r="AB5" s="5">
        <f t="shared" si="0"/>
        <v>10</v>
      </c>
    </row>
    <row r="6" spans="2:28" ht="21.95" customHeight="1">
      <c r="B6" s="2">
        <v>4</v>
      </c>
      <c r="C6" s="3" t="s">
        <v>99</v>
      </c>
      <c r="D6" s="2"/>
      <c r="E6" s="2"/>
      <c r="F6" s="2"/>
      <c r="G6" s="2">
        <v>2</v>
      </c>
      <c r="H6" s="2">
        <v>4</v>
      </c>
      <c r="I6" s="2">
        <v>4</v>
      </c>
      <c r="J6" s="2">
        <v>3</v>
      </c>
      <c r="K6" s="2"/>
      <c r="L6" s="2"/>
      <c r="M6" s="2"/>
      <c r="N6" s="2"/>
      <c r="O6" s="2"/>
      <c r="P6" s="2"/>
      <c r="Q6" s="2"/>
      <c r="R6" s="2"/>
      <c r="S6" s="2"/>
      <c r="T6" s="2"/>
      <c r="U6" s="2"/>
      <c r="V6" s="2"/>
      <c r="W6" s="2"/>
      <c r="X6" s="2"/>
      <c r="Y6" s="2"/>
      <c r="Z6" s="2"/>
      <c r="AA6" s="2"/>
      <c r="AB6" s="5">
        <f t="shared" si="0"/>
        <v>13</v>
      </c>
    </row>
    <row r="7" spans="2:28" ht="21.95" customHeight="1">
      <c r="B7" s="2">
        <v>5</v>
      </c>
      <c r="C7" s="3" t="s">
        <v>100</v>
      </c>
      <c r="D7" s="2"/>
      <c r="E7" s="2"/>
      <c r="F7" s="2"/>
      <c r="G7" s="2"/>
      <c r="H7" s="2"/>
      <c r="I7" s="2">
        <v>2</v>
      </c>
      <c r="J7" s="2">
        <v>5</v>
      </c>
      <c r="K7" s="2">
        <v>6</v>
      </c>
      <c r="L7" s="2">
        <v>6</v>
      </c>
      <c r="M7" s="2">
        <v>4</v>
      </c>
      <c r="N7" s="2"/>
      <c r="O7" s="2"/>
      <c r="P7" s="2"/>
      <c r="Q7" s="2"/>
      <c r="R7" s="2"/>
      <c r="S7" s="2"/>
      <c r="T7" s="2"/>
      <c r="U7" s="2"/>
      <c r="V7" s="2"/>
      <c r="W7" s="2"/>
      <c r="X7" s="2"/>
      <c r="Y7" s="2"/>
      <c r="Z7" s="2"/>
      <c r="AA7" s="2"/>
      <c r="AB7" s="5">
        <f t="shared" si="0"/>
        <v>23</v>
      </c>
    </row>
    <row r="8" spans="2:28" ht="21.95" customHeight="1">
      <c r="B8" s="2">
        <v>6</v>
      </c>
      <c r="C8" s="3" t="s">
        <v>101</v>
      </c>
      <c r="D8" s="2"/>
      <c r="E8" s="2"/>
      <c r="F8" s="2"/>
      <c r="G8" s="2"/>
      <c r="H8" s="2"/>
      <c r="I8" s="2"/>
      <c r="J8" s="2"/>
      <c r="K8" s="2">
        <v>2</v>
      </c>
      <c r="L8" s="2">
        <v>5</v>
      </c>
      <c r="M8" s="2">
        <v>6</v>
      </c>
      <c r="N8" s="2">
        <v>6</v>
      </c>
      <c r="O8" s="2">
        <v>4</v>
      </c>
      <c r="P8" s="2"/>
      <c r="Q8" s="2"/>
      <c r="R8" s="2"/>
      <c r="S8" s="2"/>
      <c r="T8" s="2"/>
      <c r="U8" s="2"/>
      <c r="V8" s="2"/>
      <c r="W8" s="2"/>
      <c r="X8" s="2"/>
      <c r="Y8" s="2"/>
      <c r="Z8" s="2"/>
      <c r="AA8" s="2"/>
      <c r="AB8" s="5">
        <f t="shared" si="0"/>
        <v>23</v>
      </c>
    </row>
    <row r="9" spans="2:28" ht="21.95" customHeight="1">
      <c r="B9" s="2">
        <v>7</v>
      </c>
      <c r="C9" s="3" t="s">
        <v>102</v>
      </c>
      <c r="D9" s="2"/>
      <c r="E9" s="2"/>
      <c r="F9" s="2"/>
      <c r="G9" s="2"/>
      <c r="H9" s="2"/>
      <c r="I9" s="2"/>
      <c r="J9" s="2"/>
      <c r="K9" s="2"/>
      <c r="L9" s="2"/>
      <c r="M9" s="2">
        <v>2</v>
      </c>
      <c r="N9" s="2">
        <v>5</v>
      </c>
      <c r="O9" s="2">
        <v>6</v>
      </c>
      <c r="P9" s="2">
        <v>6</v>
      </c>
      <c r="Q9" s="2">
        <v>2</v>
      </c>
      <c r="R9" s="2"/>
      <c r="S9" s="2"/>
      <c r="T9" s="2"/>
      <c r="U9" s="2"/>
      <c r="V9" s="2"/>
      <c r="W9" s="2"/>
      <c r="X9" s="2"/>
      <c r="Y9" s="2"/>
      <c r="Z9" s="2"/>
      <c r="AA9" s="2"/>
      <c r="AB9" s="5">
        <f t="shared" si="0"/>
        <v>21</v>
      </c>
    </row>
    <row r="10" spans="2:28" ht="21.95" customHeight="1">
      <c r="B10" s="2">
        <v>8</v>
      </c>
      <c r="C10" s="3" t="s">
        <v>103</v>
      </c>
      <c r="D10" s="2"/>
      <c r="E10" s="2"/>
      <c r="F10" s="2"/>
      <c r="G10" s="2"/>
      <c r="H10" s="2"/>
      <c r="I10" s="2"/>
      <c r="J10" s="2"/>
      <c r="K10" s="2"/>
      <c r="L10" s="2"/>
      <c r="M10" s="2"/>
      <c r="N10" s="2"/>
      <c r="O10" s="2">
        <v>2</v>
      </c>
      <c r="P10" s="2">
        <v>5</v>
      </c>
      <c r="Q10" s="2">
        <v>6</v>
      </c>
      <c r="R10" s="2">
        <v>4</v>
      </c>
      <c r="S10" s="2"/>
      <c r="T10" s="2"/>
      <c r="U10" s="2"/>
      <c r="V10" s="2"/>
      <c r="W10" s="2"/>
      <c r="X10" s="2"/>
      <c r="Y10" s="2"/>
      <c r="Z10" s="2"/>
      <c r="AA10" s="2"/>
      <c r="AB10" s="5">
        <f t="shared" si="0"/>
        <v>17</v>
      </c>
    </row>
    <row r="11" spans="2:28" ht="21.95" customHeight="1">
      <c r="B11" s="2">
        <v>9</v>
      </c>
      <c r="C11" s="3" t="s">
        <v>104</v>
      </c>
      <c r="D11" s="2"/>
      <c r="E11" s="2"/>
      <c r="F11" s="2"/>
      <c r="G11" s="2"/>
      <c r="H11" s="2"/>
      <c r="I11" s="2"/>
      <c r="J11" s="2">
        <v>3</v>
      </c>
      <c r="K11" s="2">
        <v>3</v>
      </c>
      <c r="L11" s="2">
        <v>4</v>
      </c>
      <c r="M11" s="2"/>
      <c r="N11" s="2"/>
      <c r="O11" s="2"/>
      <c r="P11" s="2"/>
      <c r="Q11" s="2"/>
      <c r="R11" s="2"/>
      <c r="S11" s="2"/>
      <c r="T11" s="2"/>
      <c r="U11" s="2"/>
      <c r="V11" s="2"/>
      <c r="W11" s="2"/>
      <c r="X11" s="2"/>
      <c r="Y11" s="2"/>
      <c r="Z11" s="2"/>
      <c r="AA11" s="2"/>
      <c r="AB11" s="5">
        <f t="shared" si="0"/>
        <v>10</v>
      </c>
    </row>
    <row r="12" spans="2:28" ht="21.95" customHeight="1">
      <c r="B12" s="2">
        <v>10</v>
      </c>
      <c r="C12" s="3" t="s">
        <v>105</v>
      </c>
      <c r="D12" s="2"/>
      <c r="E12" s="2"/>
      <c r="F12" s="2"/>
      <c r="G12" s="2"/>
      <c r="H12" s="2"/>
      <c r="I12" s="2"/>
      <c r="J12" s="2"/>
      <c r="K12" s="2"/>
      <c r="L12" s="2">
        <v>2</v>
      </c>
      <c r="M12" s="2">
        <v>5</v>
      </c>
      <c r="N12" s="2">
        <v>6</v>
      </c>
      <c r="O12" s="2">
        <v>4</v>
      </c>
      <c r="P12" s="2"/>
      <c r="Q12" s="2"/>
      <c r="R12" s="2"/>
      <c r="S12" s="2"/>
      <c r="T12" s="2"/>
      <c r="U12" s="2"/>
      <c r="V12" s="2"/>
      <c r="W12" s="2"/>
      <c r="X12" s="2"/>
      <c r="Y12" s="2"/>
      <c r="Z12" s="2"/>
      <c r="AA12" s="2"/>
      <c r="AB12" s="5">
        <f t="shared" si="0"/>
        <v>17</v>
      </c>
    </row>
    <row r="13" spans="2:28" ht="21.95" customHeight="1">
      <c r="B13" s="2">
        <v>11</v>
      </c>
      <c r="C13" s="3" t="s">
        <v>106</v>
      </c>
      <c r="D13" s="2"/>
      <c r="E13" s="2"/>
      <c r="F13" s="2"/>
      <c r="G13" s="2"/>
      <c r="H13" s="2"/>
      <c r="I13" s="2"/>
      <c r="J13" s="2"/>
      <c r="K13" s="2"/>
      <c r="L13" s="2"/>
      <c r="M13" s="2"/>
      <c r="N13" s="2">
        <v>2</v>
      </c>
      <c r="O13" s="2">
        <v>5</v>
      </c>
      <c r="P13" s="2">
        <v>6</v>
      </c>
      <c r="Q13" s="2">
        <v>4</v>
      </c>
      <c r="R13" s="2"/>
      <c r="S13" s="2"/>
      <c r="T13" s="2"/>
      <c r="U13" s="2"/>
      <c r="V13" s="2"/>
      <c r="W13" s="2"/>
      <c r="X13" s="2"/>
      <c r="Y13" s="2"/>
      <c r="Z13" s="2"/>
      <c r="AA13" s="2"/>
      <c r="AB13" s="5">
        <f t="shared" si="0"/>
        <v>17</v>
      </c>
    </row>
    <row r="14" spans="2:28" ht="21.95" customHeight="1">
      <c r="B14" s="2">
        <v>12</v>
      </c>
      <c r="C14" s="3" t="s">
        <v>107</v>
      </c>
      <c r="D14" s="2"/>
      <c r="E14" s="2"/>
      <c r="F14" s="2"/>
      <c r="G14" s="2"/>
      <c r="H14" s="2"/>
      <c r="I14" s="2"/>
      <c r="J14" s="2"/>
      <c r="K14" s="2"/>
      <c r="L14" s="2"/>
      <c r="M14" s="2"/>
      <c r="N14" s="2"/>
      <c r="O14" s="2"/>
      <c r="P14" s="2">
        <v>2</v>
      </c>
      <c r="Q14" s="2">
        <v>5</v>
      </c>
      <c r="R14" s="2">
        <v>6</v>
      </c>
      <c r="S14" s="2">
        <v>2</v>
      </c>
      <c r="T14" s="2"/>
      <c r="U14" s="2"/>
      <c r="V14" s="2"/>
      <c r="W14" s="2"/>
      <c r="X14" s="2"/>
      <c r="Y14" s="2"/>
      <c r="Z14" s="2"/>
      <c r="AA14" s="2"/>
      <c r="AB14" s="5">
        <f t="shared" si="0"/>
        <v>15</v>
      </c>
    </row>
    <row r="15" spans="2:28" ht="21.95" customHeight="1">
      <c r="B15" s="2">
        <v>13</v>
      </c>
      <c r="C15" s="3" t="s">
        <v>108</v>
      </c>
      <c r="D15" s="2"/>
      <c r="E15" s="2"/>
      <c r="F15" s="2"/>
      <c r="G15" s="2"/>
      <c r="H15" s="2"/>
      <c r="I15" s="2"/>
      <c r="J15" s="2"/>
      <c r="K15" s="2"/>
      <c r="L15" s="2"/>
      <c r="M15" s="2"/>
      <c r="N15" s="2"/>
      <c r="O15" s="2"/>
      <c r="P15" s="2"/>
      <c r="Q15" s="2"/>
      <c r="R15" s="2">
        <v>2</v>
      </c>
      <c r="S15" s="2">
        <v>5</v>
      </c>
      <c r="T15" s="2">
        <v>4</v>
      </c>
      <c r="U15" s="2"/>
      <c r="V15" s="2"/>
      <c r="W15" s="2"/>
      <c r="X15" s="2"/>
      <c r="Y15" s="2"/>
      <c r="Z15" s="2"/>
      <c r="AA15" s="2"/>
      <c r="AB15" s="5">
        <f t="shared" si="0"/>
        <v>11</v>
      </c>
    </row>
    <row r="16" spans="2:28" ht="21.95" customHeight="1">
      <c r="B16" s="2">
        <v>14</v>
      </c>
      <c r="C16" s="3" t="s">
        <v>109</v>
      </c>
      <c r="D16" s="2"/>
      <c r="E16" s="2"/>
      <c r="F16" s="2"/>
      <c r="G16" s="2"/>
      <c r="H16" s="2"/>
      <c r="I16" s="2"/>
      <c r="J16" s="2"/>
      <c r="K16" s="2"/>
      <c r="L16" s="2"/>
      <c r="M16" s="2"/>
      <c r="N16" s="2"/>
      <c r="O16" s="2"/>
      <c r="P16" s="2"/>
      <c r="Q16" s="2"/>
      <c r="R16" s="2"/>
      <c r="S16" s="2"/>
      <c r="T16" s="2"/>
      <c r="U16" s="2"/>
      <c r="V16" s="2"/>
      <c r="W16" s="2"/>
      <c r="X16" s="2"/>
      <c r="Y16" s="2"/>
      <c r="Z16" s="2"/>
      <c r="AA16" s="2"/>
      <c r="AB16" s="5">
        <f t="shared" si="0"/>
        <v>0</v>
      </c>
    </row>
    <row r="17" spans="2:28" ht="21.95" customHeight="1">
      <c r="B17" s="2">
        <v>15</v>
      </c>
      <c r="C17" s="3" t="s">
        <v>110</v>
      </c>
      <c r="D17" s="2"/>
      <c r="E17" s="2"/>
      <c r="F17" s="2"/>
      <c r="G17" s="2"/>
      <c r="H17" s="2"/>
      <c r="I17" s="2"/>
      <c r="J17" s="2"/>
      <c r="K17" s="2"/>
      <c r="L17" s="2"/>
      <c r="M17" s="2"/>
      <c r="N17" s="2"/>
      <c r="O17" s="2"/>
      <c r="P17" s="2"/>
      <c r="Q17" s="2"/>
      <c r="R17" s="2"/>
      <c r="S17" s="2"/>
      <c r="T17" s="2"/>
      <c r="U17" s="2"/>
      <c r="V17" s="2"/>
      <c r="W17" s="2"/>
      <c r="X17" s="2"/>
      <c r="Y17" s="2"/>
      <c r="Z17" s="2"/>
      <c r="AA17" s="2"/>
      <c r="AB17" s="5">
        <f t="shared" si="0"/>
        <v>0</v>
      </c>
    </row>
    <row r="18" spans="2:28" ht="21.95" customHeight="1">
      <c r="B18" s="2">
        <v>16</v>
      </c>
      <c r="C18" s="3" t="s">
        <v>111</v>
      </c>
      <c r="D18" s="2"/>
      <c r="E18" s="2"/>
      <c r="F18" s="2"/>
      <c r="G18" s="2"/>
      <c r="H18" s="2"/>
      <c r="I18" s="2"/>
      <c r="J18" s="2"/>
      <c r="K18" s="2"/>
      <c r="L18" s="2"/>
      <c r="M18" s="2"/>
      <c r="N18" s="2"/>
      <c r="O18" s="2"/>
      <c r="P18" s="2"/>
      <c r="Q18" s="2"/>
      <c r="R18" s="2"/>
      <c r="S18" s="2"/>
      <c r="T18" s="2"/>
      <c r="U18" s="2"/>
      <c r="V18" s="2"/>
      <c r="W18" s="2"/>
      <c r="X18" s="2"/>
      <c r="Y18" s="2"/>
      <c r="Z18" s="2"/>
      <c r="AA18" s="2"/>
      <c r="AB18" s="5">
        <f t="shared" si="0"/>
        <v>0</v>
      </c>
    </row>
    <row r="19" spans="2:28" ht="21.95" customHeight="1">
      <c r="B19" s="2">
        <v>17</v>
      </c>
      <c r="C19" s="3" t="s">
        <v>112</v>
      </c>
      <c r="D19" s="2"/>
      <c r="E19" s="2"/>
      <c r="F19" s="2"/>
      <c r="G19" s="2"/>
      <c r="H19" s="2"/>
      <c r="I19" s="2"/>
      <c r="J19" s="2"/>
      <c r="K19" s="2"/>
      <c r="L19" s="2"/>
      <c r="M19" s="2"/>
      <c r="N19" s="2"/>
      <c r="O19" s="2"/>
      <c r="P19" s="2"/>
      <c r="Q19" s="2"/>
      <c r="R19" s="2"/>
      <c r="S19" s="2"/>
      <c r="T19" s="2"/>
      <c r="U19" s="2"/>
      <c r="V19" s="2"/>
      <c r="W19" s="2"/>
      <c r="X19" s="2"/>
      <c r="Y19" s="2"/>
      <c r="Z19" s="2"/>
      <c r="AA19" s="2"/>
      <c r="AB19" s="5">
        <f t="shared" si="0"/>
        <v>0</v>
      </c>
    </row>
    <row r="20" spans="2:28" ht="21.95" customHeight="1">
      <c r="B20" s="2">
        <v>18</v>
      </c>
      <c r="C20" s="3" t="s">
        <v>113</v>
      </c>
      <c r="D20" s="2"/>
      <c r="E20" s="2"/>
      <c r="F20" s="2"/>
      <c r="G20" s="2"/>
      <c r="H20" s="2"/>
      <c r="I20" s="2"/>
      <c r="J20" s="2"/>
      <c r="K20" s="2"/>
      <c r="L20" s="2"/>
      <c r="M20" s="2"/>
      <c r="N20" s="2"/>
      <c r="O20" s="2"/>
      <c r="P20" s="2"/>
      <c r="Q20" s="2"/>
      <c r="R20" s="2"/>
      <c r="S20" s="2"/>
      <c r="T20" s="2"/>
      <c r="U20" s="2"/>
      <c r="V20" s="2"/>
      <c r="W20" s="2"/>
      <c r="X20" s="2"/>
      <c r="Y20" s="2"/>
      <c r="Z20" s="2"/>
      <c r="AA20" s="2"/>
      <c r="AB20" s="5">
        <f t="shared" si="0"/>
        <v>0</v>
      </c>
    </row>
    <row r="21" spans="2:28" ht="21.95" customHeight="1">
      <c r="B21" s="2">
        <v>19</v>
      </c>
      <c r="C21" s="3" t="s">
        <v>114</v>
      </c>
      <c r="D21" s="2"/>
      <c r="E21" s="2"/>
      <c r="F21" s="2"/>
      <c r="G21" s="2"/>
      <c r="H21" s="2"/>
      <c r="I21" s="2"/>
      <c r="J21" s="2"/>
      <c r="K21" s="2"/>
      <c r="L21" s="2"/>
      <c r="M21" s="2"/>
      <c r="N21" s="2"/>
      <c r="O21" s="2"/>
      <c r="P21" s="2"/>
      <c r="Q21" s="2"/>
      <c r="R21" s="2"/>
      <c r="S21" s="2"/>
      <c r="T21" s="2"/>
      <c r="U21" s="2"/>
      <c r="V21" s="2"/>
      <c r="W21" s="2"/>
      <c r="X21" s="2"/>
      <c r="Y21" s="2"/>
      <c r="Z21" s="2"/>
      <c r="AA21" s="2"/>
      <c r="AB21" s="5">
        <f t="shared" si="0"/>
        <v>0</v>
      </c>
    </row>
    <row r="22" spans="2:28" ht="21.95" customHeight="1">
      <c r="B22" s="2">
        <v>20</v>
      </c>
      <c r="C22" s="3" t="s">
        <v>115</v>
      </c>
      <c r="D22" s="2"/>
      <c r="E22" s="2"/>
      <c r="F22" s="2"/>
      <c r="G22" s="2"/>
      <c r="H22" s="2"/>
      <c r="I22" s="2"/>
      <c r="J22" s="2"/>
      <c r="K22" s="2"/>
      <c r="L22" s="2"/>
      <c r="M22" s="2"/>
      <c r="N22" s="2"/>
      <c r="O22" s="2"/>
      <c r="P22" s="2"/>
      <c r="Q22" s="2"/>
      <c r="R22" s="2"/>
      <c r="S22" s="2"/>
      <c r="T22" s="2"/>
      <c r="U22" s="2"/>
      <c r="V22" s="2"/>
      <c r="W22" s="2"/>
      <c r="X22" s="2"/>
      <c r="Y22" s="2"/>
      <c r="Z22" s="2"/>
      <c r="AA22" s="2"/>
      <c r="AB22" s="5">
        <f t="shared" si="0"/>
        <v>0</v>
      </c>
    </row>
    <row r="23" spans="2:28" ht="21.95" customHeight="1">
      <c r="B23" s="2">
        <v>21</v>
      </c>
      <c r="C23" s="3" t="s">
        <v>116</v>
      </c>
      <c r="D23" s="2"/>
      <c r="E23" s="2"/>
      <c r="F23" s="2"/>
      <c r="G23" s="2"/>
      <c r="H23" s="2"/>
      <c r="I23" s="2"/>
      <c r="J23" s="2"/>
      <c r="K23" s="2"/>
      <c r="L23" s="2"/>
      <c r="M23" s="2"/>
      <c r="N23" s="2"/>
      <c r="O23" s="2"/>
      <c r="P23" s="2"/>
      <c r="Q23" s="2"/>
      <c r="R23" s="2"/>
      <c r="S23" s="2"/>
      <c r="T23" s="2"/>
      <c r="U23" s="2"/>
      <c r="V23" s="2"/>
      <c r="W23" s="2"/>
      <c r="X23" s="2"/>
      <c r="Y23" s="2"/>
      <c r="Z23" s="2"/>
      <c r="AA23" s="2"/>
      <c r="AB23" s="5">
        <f t="shared" si="0"/>
        <v>0</v>
      </c>
    </row>
    <row r="24" spans="2:28" ht="21.95" customHeight="1">
      <c r="B24" s="2">
        <v>22</v>
      </c>
      <c r="C24" s="3" t="s">
        <v>117</v>
      </c>
      <c r="D24" s="2"/>
      <c r="E24" s="2"/>
      <c r="F24" s="2"/>
      <c r="G24" s="2"/>
      <c r="H24" s="2"/>
      <c r="I24" s="2"/>
      <c r="J24" s="2"/>
      <c r="K24" s="2"/>
      <c r="L24" s="2"/>
      <c r="M24" s="2"/>
      <c r="N24" s="2"/>
      <c r="O24" s="2"/>
      <c r="P24" s="2"/>
      <c r="Q24" s="2"/>
      <c r="R24" s="2"/>
      <c r="S24" s="2"/>
      <c r="T24" s="2"/>
      <c r="U24" s="2"/>
      <c r="V24" s="2"/>
      <c r="W24" s="2"/>
      <c r="X24" s="2"/>
      <c r="Y24" s="2"/>
      <c r="Z24" s="2"/>
      <c r="AA24" s="2"/>
      <c r="AB24" s="5">
        <f t="shared" si="0"/>
        <v>0</v>
      </c>
    </row>
    <row r="25" spans="2:28" ht="21.95" customHeight="1">
      <c r="B25" s="2">
        <v>23</v>
      </c>
      <c r="C25" s="3" t="s">
        <v>118</v>
      </c>
      <c r="D25" s="2"/>
      <c r="E25" s="2"/>
      <c r="F25" s="2"/>
      <c r="G25" s="2"/>
      <c r="H25" s="2"/>
      <c r="I25" s="2"/>
      <c r="J25" s="2"/>
      <c r="K25" s="2"/>
      <c r="L25" s="2"/>
      <c r="M25" s="2"/>
      <c r="N25" s="2"/>
      <c r="O25" s="2"/>
      <c r="P25" s="2"/>
      <c r="Q25" s="2"/>
      <c r="R25" s="2"/>
      <c r="S25" s="2"/>
      <c r="T25" s="2"/>
      <c r="U25" s="2"/>
      <c r="V25" s="2"/>
      <c r="W25" s="2"/>
      <c r="X25" s="2"/>
      <c r="Y25" s="2"/>
      <c r="Z25" s="2"/>
      <c r="AA25" s="2"/>
      <c r="AB25" s="5">
        <f t="shared" si="0"/>
        <v>0</v>
      </c>
    </row>
    <row r="26" spans="2:28" ht="21.95" customHeight="1">
      <c r="B26" s="2">
        <v>24</v>
      </c>
      <c r="C26" s="3" t="s">
        <v>119</v>
      </c>
      <c r="D26" s="2"/>
      <c r="E26" s="2"/>
      <c r="F26" s="2"/>
      <c r="G26" s="2"/>
      <c r="H26" s="2"/>
      <c r="I26" s="2"/>
      <c r="J26" s="2"/>
      <c r="K26" s="2"/>
      <c r="L26" s="2"/>
      <c r="M26" s="2"/>
      <c r="N26" s="2"/>
      <c r="O26" s="2"/>
      <c r="P26" s="2"/>
      <c r="Q26" s="2"/>
      <c r="R26" s="2"/>
      <c r="S26" s="2"/>
      <c r="T26" s="2"/>
      <c r="U26" s="2"/>
      <c r="V26" s="2"/>
      <c r="W26" s="2"/>
      <c r="X26" s="2"/>
      <c r="Y26" s="2"/>
      <c r="Z26" s="2"/>
      <c r="AA26" s="2"/>
      <c r="AB26" s="5">
        <f t="shared" si="0"/>
        <v>0</v>
      </c>
    </row>
    <row r="27" spans="2:28" ht="21.95" customHeight="1">
      <c r="B27" s="2">
        <v>25</v>
      </c>
      <c r="C27" s="3" t="s">
        <v>120</v>
      </c>
      <c r="D27" s="2"/>
      <c r="E27" s="2"/>
      <c r="F27" s="2"/>
      <c r="G27" s="2"/>
      <c r="H27" s="2"/>
      <c r="I27" s="2"/>
      <c r="J27" s="2"/>
      <c r="K27" s="2"/>
      <c r="L27" s="2"/>
      <c r="M27" s="2"/>
      <c r="N27" s="2"/>
      <c r="O27" s="2"/>
      <c r="P27" s="2"/>
      <c r="Q27" s="2"/>
      <c r="R27" s="2"/>
      <c r="S27" s="2"/>
      <c r="T27" s="2"/>
      <c r="U27" s="2"/>
      <c r="V27" s="2"/>
      <c r="W27" s="2"/>
      <c r="X27" s="2"/>
      <c r="Y27" s="2"/>
      <c r="Z27" s="2"/>
      <c r="AA27" s="2"/>
      <c r="AB27" s="5">
        <f t="shared" si="0"/>
        <v>0</v>
      </c>
    </row>
    <row r="28" spans="2:28" ht="21.95" customHeight="1">
      <c r="B28" s="2">
        <v>26</v>
      </c>
      <c r="C28" s="3"/>
      <c r="D28" s="2"/>
      <c r="E28" s="2"/>
      <c r="F28" s="2"/>
      <c r="G28" s="2"/>
      <c r="H28" s="2"/>
      <c r="I28" s="2"/>
      <c r="J28" s="2"/>
      <c r="K28" s="2"/>
      <c r="L28" s="2"/>
      <c r="M28" s="2"/>
      <c r="N28" s="2"/>
      <c r="O28" s="2"/>
      <c r="P28" s="2"/>
      <c r="Q28" s="2"/>
      <c r="R28" s="2"/>
      <c r="S28" s="2"/>
      <c r="T28" s="2"/>
      <c r="U28" s="2"/>
      <c r="V28" s="2"/>
      <c r="W28" s="2"/>
      <c r="X28" s="2"/>
      <c r="Y28" s="2"/>
      <c r="Z28" s="2"/>
      <c r="AA28" s="2"/>
      <c r="AB28" s="5">
        <f t="shared" si="0"/>
        <v>0</v>
      </c>
    </row>
    <row r="29" spans="2:28" ht="21.95" customHeight="1">
      <c r="B29" s="2">
        <v>27</v>
      </c>
      <c r="C29" s="3"/>
      <c r="D29" s="2"/>
      <c r="E29" s="2"/>
      <c r="F29" s="2"/>
      <c r="G29" s="2"/>
      <c r="H29" s="2"/>
      <c r="I29" s="2"/>
      <c r="J29" s="2"/>
      <c r="K29" s="2"/>
      <c r="L29" s="2"/>
      <c r="M29" s="2"/>
      <c r="N29" s="2"/>
      <c r="O29" s="2"/>
      <c r="P29" s="2"/>
      <c r="Q29" s="2"/>
      <c r="R29" s="2"/>
      <c r="S29" s="2"/>
      <c r="T29" s="2"/>
      <c r="U29" s="2"/>
      <c r="V29" s="2"/>
      <c r="W29" s="2"/>
      <c r="X29" s="2"/>
      <c r="Y29" s="2"/>
      <c r="Z29" s="2"/>
      <c r="AA29" s="2"/>
      <c r="AB29" s="5">
        <f t="shared" si="0"/>
        <v>0</v>
      </c>
    </row>
    <row r="30" spans="2:28" ht="21.95" customHeight="1">
      <c r="B30" s="2">
        <v>28</v>
      </c>
      <c r="C30" s="3"/>
      <c r="D30" s="2"/>
      <c r="E30" s="2"/>
      <c r="F30" s="2"/>
      <c r="G30" s="2"/>
      <c r="H30" s="2"/>
      <c r="I30" s="2"/>
      <c r="J30" s="2"/>
      <c r="K30" s="2"/>
      <c r="L30" s="2"/>
      <c r="M30" s="2"/>
      <c r="N30" s="2"/>
      <c r="O30" s="2"/>
      <c r="P30" s="2"/>
      <c r="Q30" s="2"/>
      <c r="R30" s="2"/>
      <c r="S30" s="2"/>
      <c r="T30" s="2"/>
      <c r="U30" s="2"/>
      <c r="V30" s="2"/>
      <c r="W30" s="2"/>
      <c r="X30" s="2"/>
      <c r="Y30" s="2"/>
      <c r="Z30" s="2"/>
      <c r="AA30" s="2"/>
      <c r="AB30" s="5">
        <f t="shared" si="0"/>
        <v>0</v>
      </c>
    </row>
    <row r="31" spans="2:28" ht="21.95" customHeight="1">
      <c r="B31" s="2">
        <v>29</v>
      </c>
      <c r="C31" s="3"/>
      <c r="D31" s="2"/>
      <c r="E31" s="2"/>
      <c r="F31" s="2"/>
      <c r="G31" s="2"/>
      <c r="H31" s="2"/>
      <c r="I31" s="2"/>
      <c r="J31" s="2"/>
      <c r="K31" s="2"/>
      <c r="L31" s="2"/>
      <c r="M31" s="2"/>
      <c r="N31" s="2"/>
      <c r="O31" s="2"/>
      <c r="P31" s="2"/>
      <c r="Q31" s="2"/>
      <c r="R31" s="2"/>
      <c r="S31" s="2"/>
      <c r="T31" s="2"/>
      <c r="U31" s="2"/>
      <c r="V31" s="2"/>
      <c r="W31" s="2"/>
      <c r="X31" s="2"/>
      <c r="Y31" s="2"/>
      <c r="Z31" s="2"/>
      <c r="AA31" s="2"/>
      <c r="AB31" s="5">
        <f t="shared" si="0"/>
        <v>0</v>
      </c>
    </row>
    <row r="32" spans="2:28" ht="21.95" customHeight="1">
      <c r="B32" s="2">
        <v>30</v>
      </c>
      <c r="C32" s="3"/>
      <c r="D32" s="2"/>
      <c r="E32" s="2"/>
      <c r="F32" s="2"/>
      <c r="G32" s="2"/>
      <c r="H32" s="2"/>
      <c r="I32" s="2"/>
      <c r="J32" s="2"/>
      <c r="K32" s="2"/>
      <c r="L32" s="2"/>
      <c r="M32" s="2"/>
      <c r="N32" s="2"/>
      <c r="O32" s="2"/>
      <c r="P32" s="2"/>
      <c r="Q32" s="2"/>
      <c r="R32" s="2"/>
      <c r="S32" s="2"/>
      <c r="T32" s="2"/>
      <c r="U32" s="2"/>
      <c r="V32" s="2"/>
      <c r="W32" s="2"/>
      <c r="X32" s="2"/>
      <c r="Y32" s="2"/>
      <c r="Z32" s="2"/>
      <c r="AA32" s="2"/>
      <c r="AB32" s="5">
        <f t="shared" si="0"/>
        <v>0</v>
      </c>
    </row>
    <row r="33" spans="2:28" ht="21.95" customHeight="1">
      <c r="B33" s="4"/>
      <c r="C33" s="6" t="s">
        <v>129</v>
      </c>
      <c r="D33" s="7">
        <f t="shared" ref="D33:AB33" si="1">SUM(D3:D32)</f>
        <v>5</v>
      </c>
      <c r="E33" s="7">
        <f t="shared" si="1"/>
        <v>6</v>
      </c>
      <c r="F33" s="7">
        <f t="shared" si="1"/>
        <v>7</v>
      </c>
      <c r="G33" s="7">
        <f t="shared" si="1"/>
        <v>11</v>
      </c>
      <c r="H33" s="7">
        <f t="shared" si="1"/>
        <v>13</v>
      </c>
      <c r="I33" s="7">
        <f t="shared" si="1"/>
        <v>13</v>
      </c>
      <c r="J33" s="7">
        <f t="shared" si="1"/>
        <v>11</v>
      </c>
      <c r="K33" s="7">
        <f t="shared" si="1"/>
        <v>11</v>
      </c>
      <c r="L33" s="7">
        <f t="shared" si="1"/>
        <v>17</v>
      </c>
      <c r="M33" s="7">
        <f t="shared" si="1"/>
        <v>17</v>
      </c>
      <c r="N33" s="7">
        <f t="shared" si="1"/>
        <v>19</v>
      </c>
      <c r="O33" s="7">
        <f t="shared" si="1"/>
        <v>21</v>
      </c>
      <c r="P33" s="7">
        <f t="shared" si="1"/>
        <v>19</v>
      </c>
      <c r="Q33" s="7">
        <f t="shared" si="1"/>
        <v>17</v>
      </c>
      <c r="R33" s="7">
        <f t="shared" si="1"/>
        <v>12</v>
      </c>
      <c r="S33" s="7">
        <f t="shared" si="1"/>
        <v>7</v>
      </c>
      <c r="T33" s="7">
        <f t="shared" si="1"/>
        <v>4</v>
      </c>
      <c r="U33" s="7">
        <f t="shared" si="1"/>
        <v>0</v>
      </c>
      <c r="V33" s="7">
        <f t="shared" si="1"/>
        <v>0</v>
      </c>
      <c r="W33" s="7">
        <f t="shared" si="1"/>
        <v>0</v>
      </c>
      <c r="X33" s="7">
        <f t="shared" si="1"/>
        <v>0</v>
      </c>
      <c r="Y33" s="7">
        <f t="shared" si="1"/>
        <v>0</v>
      </c>
      <c r="Z33" s="7">
        <f t="shared" si="1"/>
        <v>0</v>
      </c>
      <c r="AA33" s="7">
        <f t="shared" si="1"/>
        <v>0</v>
      </c>
      <c r="AB33" s="7">
        <f t="shared" si="1"/>
        <v>210</v>
      </c>
    </row>
    <row r="34" spans="2:28" ht="21.95" customHeight="1">
      <c r="B34" s="4"/>
      <c r="C34" s="8" t="s">
        <v>132</v>
      </c>
      <c r="D34" s="9">
        <f>D33</f>
        <v>5</v>
      </c>
      <c r="E34" s="9">
        <f t="shared" ref="E34:AA34" si="2">D34+E33</f>
        <v>11</v>
      </c>
      <c r="F34" s="9">
        <f t="shared" si="2"/>
        <v>18</v>
      </c>
      <c r="G34" s="9">
        <f t="shared" si="2"/>
        <v>29</v>
      </c>
      <c r="H34" s="9">
        <f t="shared" si="2"/>
        <v>42</v>
      </c>
      <c r="I34" s="9">
        <f t="shared" si="2"/>
        <v>55</v>
      </c>
      <c r="J34" s="9">
        <f t="shared" si="2"/>
        <v>66</v>
      </c>
      <c r="K34" s="9">
        <f t="shared" si="2"/>
        <v>77</v>
      </c>
      <c r="L34" s="9">
        <f t="shared" si="2"/>
        <v>94</v>
      </c>
      <c r="M34" s="9">
        <f t="shared" si="2"/>
        <v>111</v>
      </c>
      <c r="N34" s="9">
        <f t="shared" si="2"/>
        <v>130</v>
      </c>
      <c r="O34" s="9">
        <f t="shared" si="2"/>
        <v>151</v>
      </c>
      <c r="P34" s="9">
        <f t="shared" si="2"/>
        <v>170</v>
      </c>
      <c r="Q34" s="9">
        <f t="shared" si="2"/>
        <v>187</v>
      </c>
      <c r="R34" s="9">
        <f t="shared" si="2"/>
        <v>199</v>
      </c>
      <c r="S34" s="9">
        <f t="shared" si="2"/>
        <v>206</v>
      </c>
      <c r="T34" s="9">
        <f t="shared" si="2"/>
        <v>210</v>
      </c>
      <c r="U34" s="9">
        <f t="shared" si="2"/>
        <v>210</v>
      </c>
      <c r="V34" s="9">
        <f t="shared" si="2"/>
        <v>210</v>
      </c>
      <c r="W34" s="9">
        <f t="shared" si="2"/>
        <v>210</v>
      </c>
      <c r="X34" s="9">
        <f t="shared" si="2"/>
        <v>210</v>
      </c>
      <c r="Y34" s="9">
        <f t="shared" si="2"/>
        <v>210</v>
      </c>
      <c r="Z34" s="9">
        <f t="shared" si="2"/>
        <v>210</v>
      </c>
      <c r="AA34" s="9">
        <f t="shared" si="2"/>
        <v>210</v>
      </c>
    </row>
    <row r="35" spans="2:28" ht="21.95" customHeight="1"/>
    <row r="36" spans="2:28" ht="21.95" customHeight="1"/>
    <row r="37" spans="2:28" ht="21.95" customHeight="1"/>
    <row r="38" spans="2:28" ht="21.95" customHeight="1"/>
    <row r="39" spans="2:28" ht="21.95" customHeight="1"/>
  </sheetData>
  <mergeCells count="1">
    <mergeCell ref="B1:AB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A39"/>
  <sheetViews>
    <sheetView zoomScale="55" zoomScaleNormal="55" workbookViewId="0">
      <pane xSplit="3" ySplit="2" topLeftCell="D3" activePane="bottomRight" state="frozen"/>
      <selection pane="bottomRight" activeCell="I12" sqref="I12"/>
      <selection pane="bottomLeft" activeCell="I12" sqref="I12"/>
      <selection pane="topRight" activeCell="I12" sqref="I12"/>
    </sheetView>
  </sheetViews>
  <sheetFormatPr defaultRowHeight="14.45"/>
  <cols>
    <col min="1" max="1" width="0.7109375" customWidth="1"/>
    <col min="2" max="2" width="6" customWidth="1"/>
    <col min="3" max="3" width="45" customWidth="1"/>
    <col min="4" max="27" width="8" customWidth="1"/>
  </cols>
  <sheetData>
    <row r="1" spans="2:27" ht="30" customHeight="1">
      <c r="B1" s="29" t="s">
        <v>133</v>
      </c>
      <c r="C1" s="39"/>
      <c r="D1" s="39"/>
      <c r="E1" s="39"/>
      <c r="F1" s="39"/>
      <c r="G1" s="39"/>
      <c r="H1" s="39"/>
      <c r="I1" s="39"/>
      <c r="J1" s="39"/>
      <c r="K1" s="39"/>
      <c r="L1" s="39"/>
      <c r="M1" s="39"/>
      <c r="N1" s="39"/>
      <c r="O1" s="39"/>
      <c r="P1" s="39"/>
      <c r="Q1" s="39"/>
      <c r="R1" s="39"/>
      <c r="S1" s="39"/>
      <c r="T1" s="39"/>
      <c r="U1" s="39"/>
      <c r="V1" s="39"/>
      <c r="W1" s="39"/>
      <c r="X1" s="39"/>
      <c r="Y1" s="39"/>
      <c r="Z1" s="39"/>
      <c r="AA1" s="39"/>
    </row>
    <row r="2" spans="2:27" ht="21.95" customHeight="1">
      <c r="B2" s="1" t="s">
        <v>2</v>
      </c>
      <c r="C2" s="1" t="s">
        <v>70</v>
      </c>
      <c r="D2" s="1" t="s">
        <v>125</v>
      </c>
      <c r="E2" s="1" t="s">
        <v>72</v>
      </c>
      <c r="F2" s="1" t="s">
        <v>73</v>
      </c>
      <c r="G2" s="1" t="s">
        <v>74</v>
      </c>
      <c r="H2" s="1" t="s">
        <v>75</v>
      </c>
      <c r="I2" s="1" t="s">
        <v>76</v>
      </c>
      <c r="J2" s="1" t="s">
        <v>77</v>
      </c>
      <c r="K2" s="1" t="s">
        <v>78</v>
      </c>
      <c r="L2" s="1" t="s">
        <v>79</v>
      </c>
      <c r="M2" s="1" t="s">
        <v>80</v>
      </c>
      <c r="N2" s="1" t="s">
        <v>81</v>
      </c>
      <c r="O2" s="1" t="s">
        <v>82</v>
      </c>
      <c r="P2" s="1" t="s">
        <v>83</v>
      </c>
      <c r="Q2" s="1" t="s">
        <v>84</v>
      </c>
      <c r="R2" s="1" t="s">
        <v>85</v>
      </c>
      <c r="S2" s="1" t="s">
        <v>86</v>
      </c>
      <c r="T2" s="1" t="s">
        <v>87</v>
      </c>
      <c r="U2" s="1" t="s">
        <v>88</v>
      </c>
      <c r="V2" s="1" t="s">
        <v>89</v>
      </c>
      <c r="W2" s="1" t="s">
        <v>90</v>
      </c>
      <c r="X2" s="1" t="s">
        <v>91</v>
      </c>
      <c r="Y2" s="1" t="s">
        <v>92</v>
      </c>
      <c r="Z2" s="1" t="s">
        <v>93</v>
      </c>
      <c r="AA2" s="1" t="s">
        <v>94</v>
      </c>
    </row>
    <row r="3" spans="2:27" ht="21.95" customHeight="1">
      <c r="B3" s="2">
        <v>1</v>
      </c>
      <c r="C3" s="3" t="str">
        <f>'PV (Kế hoạch)'!C3</f>
        <v>Phân tích yêu cầu (Requirements Analysis)</v>
      </c>
      <c r="D3" s="2">
        <f>IF('AC (Chi phí thực tế)'!D3=0,"",ROUND('EV (Hoàn thành thực tế)'!D3/'AC (Chi phí thực tế)'!D3,2))</f>
        <v>0.99</v>
      </c>
      <c r="E3" s="2">
        <f>IF('AC (Chi phí thực tế)'!E3=0,"",ROUND('EV (Hoàn thành thực tế)'!E3/'AC (Chi phí thực tế)'!E3,2))</f>
        <v>0.85</v>
      </c>
      <c r="F3" s="2">
        <f>IF('AC (Chi phí thực tế)'!F3=0,"",ROUND('EV (Hoàn thành thực tế)'!F3/'AC (Chi phí thực tế)'!F3,2))</f>
        <v>0.75</v>
      </c>
      <c r="G3" s="2" t="str">
        <f>IF('AC (Chi phí thực tế)'!G3=0,"",ROUND('EV (Hoàn thành thực tế)'!G3/'AC (Chi phí thực tế)'!G3,2))</f>
        <v/>
      </c>
      <c r="H3" s="2" t="str">
        <f>IF('AC (Chi phí thực tế)'!H3=0,"",ROUND('EV (Hoàn thành thực tế)'!H3/'AC (Chi phí thực tế)'!H3,2))</f>
        <v/>
      </c>
      <c r="I3" s="2" t="str">
        <f>IF('AC (Chi phí thực tế)'!I3=0,"",ROUND('EV (Hoàn thành thực tế)'!I3/'AC (Chi phí thực tế)'!I3,2))</f>
        <v/>
      </c>
      <c r="J3" s="2" t="str">
        <f>IF('AC (Chi phí thực tế)'!J3=0,"",ROUND('EV (Hoàn thành thực tế)'!J3/'AC (Chi phí thực tế)'!J3,2))</f>
        <v/>
      </c>
      <c r="K3" s="2" t="str">
        <f>IF('AC (Chi phí thực tế)'!K3=0,"",ROUND('EV (Hoàn thành thực tế)'!K3/'AC (Chi phí thực tế)'!K3,2))</f>
        <v/>
      </c>
      <c r="L3" s="2" t="str">
        <f>IF('AC (Chi phí thực tế)'!L3=0,"",ROUND('EV (Hoàn thành thực tế)'!L3/'AC (Chi phí thực tế)'!L3,2))</f>
        <v/>
      </c>
      <c r="M3" s="2" t="str">
        <f>IF('AC (Chi phí thực tế)'!M3=0,"",ROUND('EV (Hoàn thành thực tế)'!M3/'AC (Chi phí thực tế)'!M3,2))</f>
        <v/>
      </c>
      <c r="N3" s="2" t="str">
        <f>IF('AC (Chi phí thực tế)'!N3=0,"",ROUND('EV (Hoàn thành thực tế)'!N3/'AC (Chi phí thực tế)'!N3,2))</f>
        <v/>
      </c>
      <c r="O3" s="2" t="str">
        <f>IF('AC (Chi phí thực tế)'!O3=0,"",ROUND('EV (Hoàn thành thực tế)'!O3/'AC (Chi phí thực tế)'!O3,2))</f>
        <v/>
      </c>
      <c r="P3" s="2" t="str">
        <f>IF('AC (Chi phí thực tế)'!P3=0,"",ROUND('EV (Hoàn thành thực tế)'!P3/'AC (Chi phí thực tế)'!P3,2))</f>
        <v/>
      </c>
      <c r="Q3" s="2" t="str">
        <f>IF('AC (Chi phí thực tế)'!Q3=0,"",ROUND('EV (Hoàn thành thực tế)'!Q3/'AC (Chi phí thực tế)'!Q3,2))</f>
        <v/>
      </c>
      <c r="R3" s="2" t="str">
        <f>IF('AC (Chi phí thực tế)'!R3=0,"",ROUND('EV (Hoàn thành thực tế)'!R3/'AC (Chi phí thực tế)'!R3,2))</f>
        <v/>
      </c>
      <c r="S3" s="2" t="str">
        <f>IF('AC (Chi phí thực tế)'!S3=0,"",ROUND('EV (Hoàn thành thực tế)'!S3/'AC (Chi phí thực tế)'!S3,2))</f>
        <v/>
      </c>
      <c r="T3" s="2" t="str">
        <f>IF('AC (Chi phí thực tế)'!T3=0,"",ROUND('EV (Hoàn thành thực tế)'!T3/'AC (Chi phí thực tế)'!T3,2))</f>
        <v/>
      </c>
      <c r="U3" s="2" t="str">
        <f>IF('AC (Chi phí thực tế)'!U3=0,"",ROUND('EV (Hoàn thành thực tế)'!U3/'AC (Chi phí thực tế)'!U3,2))</f>
        <v/>
      </c>
      <c r="V3" s="2" t="str">
        <f>IF('AC (Chi phí thực tế)'!V3=0,"",ROUND('EV (Hoàn thành thực tế)'!V3/'AC (Chi phí thực tế)'!V3,2))</f>
        <v/>
      </c>
      <c r="W3" s="2" t="str">
        <f>IF('AC (Chi phí thực tế)'!W3=0,"",ROUND('EV (Hoàn thành thực tế)'!W3/'AC (Chi phí thực tế)'!W3,2))</f>
        <v/>
      </c>
      <c r="X3" s="2" t="str">
        <f>IF('AC (Chi phí thực tế)'!X3=0,"",ROUND('EV (Hoàn thành thực tế)'!X3/'AC (Chi phí thực tế)'!X3,2))</f>
        <v/>
      </c>
      <c r="Y3" s="2" t="str">
        <f>IF('AC (Chi phí thực tế)'!Y3=0,"",ROUND('EV (Hoàn thành thực tế)'!Y3/'AC (Chi phí thực tế)'!Y3,2))</f>
        <v/>
      </c>
      <c r="Z3" s="2" t="str">
        <f>IF('AC (Chi phí thực tế)'!Z3=0,"",ROUND('EV (Hoàn thành thực tế)'!Z3/'AC (Chi phí thực tế)'!Z3,2))</f>
        <v/>
      </c>
      <c r="AA3" s="2" t="str">
        <f>IF('AC (Chi phí thực tế)'!AA3=0,"",ROUND('EV (Hoàn thành thực tế)'!AA3/'AC (Chi phí thực tế)'!AA3,2))</f>
        <v/>
      </c>
    </row>
    <row r="4" spans="2:27" ht="21.95" customHeight="1">
      <c r="B4" s="2">
        <v>2</v>
      </c>
      <c r="C4" s="3" t="str">
        <f>'PV (Kế hoạch)'!C4</f>
        <v>Thiết kế hệ thống (System Design)</v>
      </c>
      <c r="D4" s="2" t="str">
        <f>IF('AC (Chi phí thực tế)'!D4=0,"",ROUND('EV (Hoàn thành thực tế)'!D4/'AC (Chi phí thực tế)'!D4,2))</f>
        <v/>
      </c>
      <c r="E4" s="2" t="str">
        <f>IF('AC (Chi phí thực tế)'!E4=0,"",ROUND('EV (Hoàn thành thực tế)'!E4/'AC (Chi phí thực tế)'!E4,2))</f>
        <v/>
      </c>
      <c r="F4" s="2">
        <f>IF('AC (Chi phí thực tế)'!F4=0,"",ROUND('EV (Hoàn thành thực tế)'!F4/'AC (Chi phí thực tế)'!F4,2))</f>
        <v>1</v>
      </c>
      <c r="G4" s="2">
        <f>IF('AC (Chi phí thực tế)'!G4=0,"",ROUND('EV (Hoàn thành thực tế)'!G4/'AC (Chi phí thực tế)'!G4,2))</f>
        <v>0.83</v>
      </c>
      <c r="H4" s="2">
        <f>IF('AC (Chi phí thực tế)'!H4=0,"",ROUND('EV (Hoàn thành thực tế)'!H4/'AC (Chi phí thực tế)'!H4,2))</f>
        <v>0.85</v>
      </c>
      <c r="I4" s="2">
        <f>IF('AC (Chi phí thực tế)'!I4=0,"",ROUND('EV (Hoàn thành thực tế)'!I4/'AC (Chi phí thực tế)'!I4,2))</f>
        <v>0.65</v>
      </c>
      <c r="J4" s="2" t="str">
        <f>IF('AC (Chi phí thực tế)'!J4=0,"",ROUND('EV (Hoàn thành thực tế)'!J4/'AC (Chi phí thực tế)'!J4,2))</f>
        <v/>
      </c>
      <c r="K4" s="2" t="str">
        <f>IF('AC (Chi phí thực tế)'!K4=0,"",ROUND('EV (Hoàn thành thực tế)'!K4/'AC (Chi phí thực tế)'!K4,2))</f>
        <v/>
      </c>
      <c r="L4" s="2" t="str">
        <f>IF('AC (Chi phí thực tế)'!L4=0,"",ROUND('EV (Hoàn thành thực tế)'!L4/'AC (Chi phí thực tế)'!L4,2))</f>
        <v/>
      </c>
      <c r="M4" s="2" t="str">
        <f>IF('AC (Chi phí thực tế)'!M4=0,"",ROUND('EV (Hoàn thành thực tế)'!M4/'AC (Chi phí thực tế)'!M4,2))</f>
        <v/>
      </c>
      <c r="N4" s="2" t="str">
        <f>IF('AC (Chi phí thực tế)'!N4=0,"",ROUND('EV (Hoàn thành thực tế)'!N4/'AC (Chi phí thực tế)'!N4,2))</f>
        <v/>
      </c>
      <c r="O4" s="2" t="str">
        <f>IF('AC (Chi phí thực tế)'!O4=0,"",ROUND('EV (Hoàn thành thực tế)'!O4/'AC (Chi phí thực tế)'!O4,2))</f>
        <v/>
      </c>
      <c r="P4" s="2" t="str">
        <f>IF('AC (Chi phí thực tế)'!P4=0,"",ROUND('EV (Hoàn thành thực tế)'!P4/'AC (Chi phí thực tế)'!P4,2))</f>
        <v/>
      </c>
      <c r="Q4" s="2" t="str">
        <f>IF('AC (Chi phí thực tế)'!Q4=0,"",ROUND('EV (Hoàn thành thực tế)'!Q4/'AC (Chi phí thực tế)'!Q4,2))</f>
        <v/>
      </c>
      <c r="R4" s="2" t="str">
        <f>IF('AC (Chi phí thực tế)'!R4=0,"",ROUND('EV (Hoàn thành thực tế)'!R4/'AC (Chi phí thực tế)'!R4,2))</f>
        <v/>
      </c>
      <c r="S4" s="2" t="str">
        <f>IF('AC (Chi phí thực tế)'!S4=0,"",ROUND('EV (Hoàn thành thực tế)'!S4/'AC (Chi phí thực tế)'!S4,2))</f>
        <v/>
      </c>
      <c r="T4" s="2" t="str">
        <f>IF('AC (Chi phí thực tế)'!T4=0,"",ROUND('EV (Hoàn thành thực tế)'!T4/'AC (Chi phí thực tế)'!T4,2))</f>
        <v/>
      </c>
      <c r="U4" s="2" t="str">
        <f>IF('AC (Chi phí thực tế)'!U4=0,"",ROUND('EV (Hoàn thành thực tế)'!U4/'AC (Chi phí thực tế)'!U4,2))</f>
        <v/>
      </c>
      <c r="V4" s="2" t="str">
        <f>IF('AC (Chi phí thực tế)'!V4=0,"",ROUND('EV (Hoàn thành thực tế)'!V4/'AC (Chi phí thực tế)'!V4,2))</f>
        <v/>
      </c>
      <c r="W4" s="2" t="str">
        <f>IF('AC (Chi phí thực tế)'!W4=0,"",ROUND('EV (Hoàn thành thực tế)'!W4/'AC (Chi phí thực tế)'!W4,2))</f>
        <v/>
      </c>
      <c r="X4" s="2" t="str">
        <f>IF('AC (Chi phí thực tế)'!X4=0,"",ROUND('EV (Hoàn thành thực tế)'!X4/'AC (Chi phí thực tế)'!X4,2))</f>
        <v/>
      </c>
      <c r="Y4" s="2" t="str">
        <f>IF('AC (Chi phí thực tế)'!Y4=0,"",ROUND('EV (Hoàn thành thực tế)'!Y4/'AC (Chi phí thực tế)'!Y4,2))</f>
        <v/>
      </c>
      <c r="Z4" s="2" t="str">
        <f>IF('AC (Chi phí thực tế)'!Z4=0,"",ROUND('EV (Hoàn thành thực tế)'!Z4/'AC (Chi phí thực tế)'!Z4,2))</f>
        <v/>
      </c>
      <c r="AA4" s="2" t="str">
        <f>IF('AC (Chi phí thực tế)'!AA4=0,"",ROUND('EV (Hoàn thành thực tế)'!AA4/'AC (Chi phí thực tế)'!AA4,2))</f>
        <v/>
      </c>
    </row>
    <row r="5" spans="2:27" ht="21.95" customHeight="1">
      <c r="B5" s="2">
        <v>3</v>
      </c>
      <c r="C5" s="3" t="str">
        <f>'PV (Kế hoạch)'!C5</f>
        <v>Thiết kế database (Database Design)</v>
      </c>
      <c r="D5" s="2" t="str">
        <f>IF('AC (Chi phí thực tế)'!D5=0,"",ROUND('EV (Hoàn thành thực tế)'!D5/'AC (Chi phí thực tế)'!D5,2))</f>
        <v/>
      </c>
      <c r="E5" s="2" t="str">
        <f>IF('AC (Chi phí thực tế)'!E5=0,"",ROUND('EV (Hoàn thành thực tế)'!E5/'AC (Chi phí thực tế)'!E5,2))</f>
        <v/>
      </c>
      <c r="F5" s="2" t="str">
        <f>IF('AC (Chi phí thực tế)'!F5=0,"",ROUND('EV (Hoàn thành thực tế)'!F5/'AC (Chi phí thực tế)'!F5,2))</f>
        <v/>
      </c>
      <c r="G5" s="2">
        <f>IF('AC (Chi phí thực tế)'!G5=0,"",ROUND('EV (Hoàn thành thực tế)'!G5/'AC (Chi phí thực tế)'!G5,2))</f>
        <v>0.67</v>
      </c>
      <c r="H5" s="2">
        <f>IF('AC (Chi phí thực tế)'!H5=0,"",ROUND('EV (Hoàn thành thực tế)'!H5/'AC (Chi phí thực tế)'!H5,2))</f>
        <v>1.01</v>
      </c>
      <c r="I5" s="2">
        <f>IF('AC (Chi phí thực tế)'!I5=0,"",ROUND('EV (Hoàn thành thực tế)'!I5/'AC (Chi phí thực tế)'!I5,2))</f>
        <v>0.74</v>
      </c>
      <c r="J5" s="2" t="str">
        <f>IF('AC (Chi phí thực tế)'!J5=0,"",ROUND('EV (Hoàn thành thực tế)'!J5/'AC (Chi phí thực tế)'!J5,2))</f>
        <v/>
      </c>
      <c r="K5" s="2" t="str">
        <f>IF('AC (Chi phí thực tế)'!K5=0,"",ROUND('EV (Hoàn thành thực tế)'!K5/'AC (Chi phí thực tế)'!K5,2))</f>
        <v/>
      </c>
      <c r="L5" s="2" t="str">
        <f>IF('AC (Chi phí thực tế)'!L5=0,"",ROUND('EV (Hoàn thành thực tế)'!L5/'AC (Chi phí thực tế)'!L5,2))</f>
        <v/>
      </c>
      <c r="M5" s="2" t="str">
        <f>IF('AC (Chi phí thực tế)'!M5=0,"",ROUND('EV (Hoàn thành thực tế)'!M5/'AC (Chi phí thực tế)'!M5,2))</f>
        <v/>
      </c>
      <c r="N5" s="2" t="str">
        <f>IF('AC (Chi phí thực tế)'!N5=0,"",ROUND('EV (Hoàn thành thực tế)'!N5/'AC (Chi phí thực tế)'!N5,2))</f>
        <v/>
      </c>
      <c r="O5" s="2" t="str">
        <f>IF('AC (Chi phí thực tế)'!O5=0,"",ROUND('EV (Hoàn thành thực tế)'!O5/'AC (Chi phí thực tế)'!O5,2))</f>
        <v/>
      </c>
      <c r="P5" s="2" t="str">
        <f>IF('AC (Chi phí thực tế)'!P5=0,"",ROUND('EV (Hoàn thành thực tế)'!P5/'AC (Chi phí thực tế)'!P5,2))</f>
        <v/>
      </c>
      <c r="Q5" s="2" t="str">
        <f>IF('AC (Chi phí thực tế)'!Q5=0,"",ROUND('EV (Hoàn thành thực tế)'!Q5/'AC (Chi phí thực tế)'!Q5,2))</f>
        <v/>
      </c>
      <c r="R5" s="2" t="str">
        <f>IF('AC (Chi phí thực tế)'!R5=0,"",ROUND('EV (Hoàn thành thực tế)'!R5/'AC (Chi phí thực tế)'!R5,2))</f>
        <v/>
      </c>
      <c r="S5" s="2" t="str">
        <f>IF('AC (Chi phí thực tế)'!S5=0,"",ROUND('EV (Hoàn thành thực tế)'!S5/'AC (Chi phí thực tế)'!S5,2))</f>
        <v/>
      </c>
      <c r="T5" s="2" t="str">
        <f>IF('AC (Chi phí thực tế)'!T5=0,"",ROUND('EV (Hoàn thành thực tế)'!T5/'AC (Chi phí thực tế)'!T5,2))</f>
        <v/>
      </c>
      <c r="U5" s="2" t="str">
        <f>IF('AC (Chi phí thực tế)'!U5=0,"",ROUND('EV (Hoàn thành thực tế)'!U5/'AC (Chi phí thực tế)'!U5,2))</f>
        <v/>
      </c>
      <c r="V5" s="2" t="str">
        <f>IF('AC (Chi phí thực tế)'!V5=0,"",ROUND('EV (Hoàn thành thực tế)'!V5/'AC (Chi phí thực tế)'!V5,2))</f>
        <v/>
      </c>
      <c r="W5" s="2" t="str">
        <f>IF('AC (Chi phí thực tế)'!W5=0,"",ROUND('EV (Hoàn thành thực tế)'!W5/'AC (Chi phí thực tế)'!W5,2))</f>
        <v/>
      </c>
      <c r="X5" s="2" t="str">
        <f>IF('AC (Chi phí thực tế)'!X5=0,"",ROUND('EV (Hoàn thành thực tế)'!X5/'AC (Chi phí thực tế)'!X5,2))</f>
        <v/>
      </c>
      <c r="Y5" s="2" t="str">
        <f>IF('AC (Chi phí thực tế)'!Y5=0,"",ROUND('EV (Hoàn thành thực tế)'!Y5/'AC (Chi phí thực tế)'!Y5,2))</f>
        <v/>
      </c>
      <c r="Z5" s="2" t="str">
        <f>IF('AC (Chi phí thực tế)'!Z5=0,"",ROUND('EV (Hoàn thành thực tế)'!Z5/'AC (Chi phí thực tế)'!Z5,2))</f>
        <v/>
      </c>
      <c r="AA5" s="2" t="str">
        <f>IF('AC (Chi phí thực tế)'!AA5=0,"",ROUND('EV (Hoàn thành thực tế)'!AA5/'AC (Chi phí thực tế)'!AA5,2))</f>
        <v/>
      </c>
    </row>
    <row r="6" spans="2:27" ht="21.95" customHeight="1">
      <c r="B6" s="2">
        <v>4</v>
      </c>
      <c r="C6" s="3" t="str">
        <f>'PV (Kế hoạch)'!C6</f>
        <v>Thiết kế UI/UX</v>
      </c>
      <c r="D6" s="2" t="str">
        <f>IF('AC (Chi phí thực tế)'!D6=0,"",ROUND('EV (Hoàn thành thực tế)'!D6/'AC (Chi phí thực tế)'!D6,2))</f>
        <v/>
      </c>
      <c r="E6" s="2" t="str">
        <f>IF('AC (Chi phí thực tế)'!E6=0,"",ROUND('EV (Hoàn thành thực tế)'!E6/'AC (Chi phí thực tế)'!E6,2))</f>
        <v/>
      </c>
      <c r="F6" s="2" t="str">
        <f>IF('AC (Chi phí thực tế)'!F6=0,"",ROUND('EV (Hoàn thành thực tế)'!F6/'AC (Chi phí thực tế)'!F6,2))</f>
        <v/>
      </c>
      <c r="G6" s="2">
        <f>IF('AC (Chi phí thực tế)'!G6=0,"",ROUND('EV (Hoàn thành thực tế)'!G6/'AC (Chi phí thực tế)'!G6,2))</f>
        <v>1</v>
      </c>
      <c r="H6" s="2">
        <f>IF('AC (Chi phí thực tế)'!H6=0,"",ROUND('EV (Hoàn thành thực tế)'!H6/'AC (Chi phí thực tế)'!H6,2))</f>
        <v>0.75</v>
      </c>
      <c r="I6" s="2">
        <f>IF('AC (Chi phí thực tế)'!I6=0,"",ROUND('EV (Hoàn thành thực tế)'!I6/'AC (Chi phí thực tế)'!I6,2))</f>
        <v>0.75</v>
      </c>
      <c r="J6" s="2">
        <f>IF('AC (Chi phí thực tế)'!J6=0,"",ROUND('EV (Hoàn thành thực tế)'!J6/'AC (Chi phí thực tế)'!J6,2))</f>
        <v>0.67</v>
      </c>
      <c r="K6" s="2" t="str">
        <f>IF('AC (Chi phí thực tế)'!K6=0,"",ROUND('EV (Hoàn thành thực tế)'!K6/'AC (Chi phí thực tế)'!K6,2))</f>
        <v/>
      </c>
      <c r="L6" s="2" t="str">
        <f>IF('AC (Chi phí thực tế)'!L6=0,"",ROUND('EV (Hoàn thành thực tế)'!L6/'AC (Chi phí thực tế)'!L6,2))</f>
        <v/>
      </c>
      <c r="M6" s="2" t="str">
        <f>IF('AC (Chi phí thực tế)'!M6=0,"",ROUND('EV (Hoàn thành thực tế)'!M6/'AC (Chi phí thực tế)'!M6,2))</f>
        <v/>
      </c>
      <c r="N6" s="2" t="str">
        <f>IF('AC (Chi phí thực tế)'!N6=0,"",ROUND('EV (Hoàn thành thực tế)'!N6/'AC (Chi phí thực tế)'!N6,2))</f>
        <v/>
      </c>
      <c r="O6" s="2" t="str">
        <f>IF('AC (Chi phí thực tế)'!O6=0,"",ROUND('EV (Hoàn thành thực tế)'!O6/'AC (Chi phí thực tế)'!O6,2))</f>
        <v/>
      </c>
      <c r="P6" s="2" t="str">
        <f>IF('AC (Chi phí thực tế)'!P6=0,"",ROUND('EV (Hoàn thành thực tế)'!P6/'AC (Chi phí thực tế)'!P6,2))</f>
        <v/>
      </c>
      <c r="Q6" s="2" t="str">
        <f>IF('AC (Chi phí thực tế)'!Q6=0,"",ROUND('EV (Hoàn thành thực tế)'!Q6/'AC (Chi phí thực tế)'!Q6,2))</f>
        <v/>
      </c>
      <c r="R6" s="2" t="str">
        <f>IF('AC (Chi phí thực tế)'!R6=0,"",ROUND('EV (Hoàn thành thực tế)'!R6/'AC (Chi phí thực tế)'!R6,2))</f>
        <v/>
      </c>
      <c r="S6" s="2" t="str">
        <f>IF('AC (Chi phí thực tế)'!S6=0,"",ROUND('EV (Hoàn thành thực tế)'!S6/'AC (Chi phí thực tế)'!S6,2))</f>
        <v/>
      </c>
      <c r="T6" s="2" t="str">
        <f>IF('AC (Chi phí thực tế)'!T6=0,"",ROUND('EV (Hoàn thành thực tế)'!T6/'AC (Chi phí thực tế)'!T6,2))</f>
        <v/>
      </c>
      <c r="U6" s="2" t="str">
        <f>IF('AC (Chi phí thực tế)'!U6=0,"",ROUND('EV (Hoàn thành thực tế)'!U6/'AC (Chi phí thực tế)'!U6,2))</f>
        <v/>
      </c>
      <c r="V6" s="2" t="str">
        <f>IF('AC (Chi phí thực tế)'!V6=0,"",ROUND('EV (Hoàn thành thực tế)'!V6/'AC (Chi phí thực tế)'!V6,2))</f>
        <v/>
      </c>
      <c r="W6" s="2" t="str">
        <f>IF('AC (Chi phí thực tế)'!W6=0,"",ROUND('EV (Hoàn thành thực tế)'!W6/'AC (Chi phí thực tế)'!W6,2))</f>
        <v/>
      </c>
      <c r="X6" s="2" t="str">
        <f>IF('AC (Chi phí thực tế)'!X6=0,"",ROUND('EV (Hoàn thành thực tế)'!X6/'AC (Chi phí thực tế)'!X6,2))</f>
        <v/>
      </c>
      <c r="Y6" s="2" t="str">
        <f>IF('AC (Chi phí thực tế)'!Y6=0,"",ROUND('EV (Hoàn thành thực tế)'!Y6/'AC (Chi phí thực tế)'!Y6,2))</f>
        <v/>
      </c>
      <c r="Z6" s="2" t="str">
        <f>IF('AC (Chi phí thực tế)'!Z6=0,"",ROUND('EV (Hoàn thành thực tế)'!Z6/'AC (Chi phí thực tế)'!Z6,2))</f>
        <v/>
      </c>
      <c r="AA6" s="2" t="str">
        <f>IF('AC (Chi phí thực tế)'!AA6=0,"",ROUND('EV (Hoàn thành thực tế)'!AA6/'AC (Chi phí thực tế)'!AA6,2))</f>
        <v/>
      </c>
    </row>
    <row r="7" spans="2:27" ht="21.95" customHeight="1">
      <c r="B7" s="2">
        <v>5</v>
      </c>
      <c r="C7" s="3" t="str">
        <f>'PV (Kế hoạch)'!C7</f>
        <v>Phát triển Backend - Module User</v>
      </c>
      <c r="D7" s="2" t="str">
        <f>IF('AC (Chi phí thực tế)'!D7=0,"",ROUND('EV (Hoàn thành thực tế)'!D7/'AC (Chi phí thực tế)'!D7,2))</f>
        <v/>
      </c>
      <c r="E7" s="2" t="str">
        <f>IF('AC (Chi phí thực tế)'!E7=0,"",ROUND('EV (Hoàn thành thực tế)'!E7/'AC (Chi phí thực tế)'!E7,2))</f>
        <v/>
      </c>
      <c r="F7" s="2" t="str">
        <f>IF('AC (Chi phí thực tế)'!F7=0,"",ROUND('EV (Hoàn thành thực tế)'!F7/'AC (Chi phí thực tế)'!F7,2))</f>
        <v/>
      </c>
      <c r="G7" s="2" t="str">
        <f>IF('AC (Chi phí thực tế)'!G7=0,"",ROUND('EV (Hoàn thành thực tế)'!G7/'AC (Chi phí thực tế)'!G7,2))</f>
        <v/>
      </c>
      <c r="H7" s="2" t="str">
        <f>IF('AC (Chi phí thực tế)'!H7=0,"",ROUND('EV (Hoàn thành thực tế)'!H7/'AC (Chi phí thực tế)'!H7,2))</f>
        <v/>
      </c>
      <c r="I7" s="2">
        <f>IF('AC (Chi phí thực tế)'!I7=0,"",ROUND('EV (Hoàn thành thực tế)'!I7/'AC (Chi phí thực tế)'!I7,2))</f>
        <v>1</v>
      </c>
      <c r="J7" s="2">
        <f>IF('AC (Chi phí thực tế)'!J7=0,"",ROUND('EV (Hoàn thành thực tế)'!J7/'AC (Chi phí thực tế)'!J7,2))</f>
        <v>1</v>
      </c>
      <c r="K7" s="2">
        <f>IF('AC (Chi phí thực tế)'!K7=0,"",ROUND('EV (Hoàn thành thực tế)'!K7/'AC (Chi phí thực tế)'!K7,2))</f>
        <v>0.83</v>
      </c>
      <c r="L7" s="2">
        <f>IF('AC (Chi phí thực tế)'!L7=0,"",ROUND('EV (Hoàn thành thực tế)'!L7/'AC (Chi phí thực tế)'!L7,2))</f>
        <v>0.83</v>
      </c>
      <c r="M7" s="2">
        <f>IF('AC (Chi phí thực tế)'!M7=0,"",ROUND('EV (Hoàn thành thực tế)'!M7/'AC (Chi phí thực tế)'!M7,2))</f>
        <v>0.75</v>
      </c>
      <c r="N7" s="2" t="str">
        <f>IF('AC (Chi phí thực tế)'!N7=0,"",ROUND('EV (Hoàn thành thực tế)'!N7/'AC (Chi phí thực tế)'!N7,2))</f>
        <v/>
      </c>
      <c r="O7" s="2" t="str">
        <f>IF('AC (Chi phí thực tế)'!O7=0,"",ROUND('EV (Hoàn thành thực tế)'!O7/'AC (Chi phí thực tế)'!O7,2))</f>
        <v/>
      </c>
      <c r="P7" s="2" t="str">
        <f>IF('AC (Chi phí thực tế)'!P7=0,"",ROUND('EV (Hoàn thành thực tế)'!P7/'AC (Chi phí thực tế)'!P7,2))</f>
        <v/>
      </c>
      <c r="Q7" s="2" t="str">
        <f>IF('AC (Chi phí thực tế)'!Q7=0,"",ROUND('EV (Hoàn thành thực tế)'!Q7/'AC (Chi phí thực tế)'!Q7,2))</f>
        <v/>
      </c>
      <c r="R7" s="2" t="str">
        <f>IF('AC (Chi phí thực tế)'!R7=0,"",ROUND('EV (Hoàn thành thực tế)'!R7/'AC (Chi phí thực tế)'!R7,2))</f>
        <v/>
      </c>
      <c r="S7" s="2" t="str">
        <f>IF('AC (Chi phí thực tế)'!S7=0,"",ROUND('EV (Hoàn thành thực tế)'!S7/'AC (Chi phí thực tế)'!S7,2))</f>
        <v/>
      </c>
      <c r="T7" s="2" t="str">
        <f>IF('AC (Chi phí thực tế)'!T7=0,"",ROUND('EV (Hoàn thành thực tế)'!T7/'AC (Chi phí thực tế)'!T7,2))</f>
        <v/>
      </c>
      <c r="U7" s="2" t="str">
        <f>IF('AC (Chi phí thực tế)'!U7=0,"",ROUND('EV (Hoàn thành thực tế)'!U7/'AC (Chi phí thực tế)'!U7,2))</f>
        <v/>
      </c>
      <c r="V7" s="2" t="str">
        <f>IF('AC (Chi phí thực tế)'!V7=0,"",ROUND('EV (Hoàn thành thực tế)'!V7/'AC (Chi phí thực tế)'!V7,2))</f>
        <v/>
      </c>
      <c r="W7" s="2" t="str">
        <f>IF('AC (Chi phí thực tế)'!W7=0,"",ROUND('EV (Hoàn thành thực tế)'!W7/'AC (Chi phí thực tế)'!W7,2))</f>
        <v/>
      </c>
      <c r="X7" s="2" t="str">
        <f>IF('AC (Chi phí thực tế)'!X7=0,"",ROUND('EV (Hoàn thành thực tế)'!X7/'AC (Chi phí thực tế)'!X7,2))</f>
        <v/>
      </c>
      <c r="Y7" s="2" t="str">
        <f>IF('AC (Chi phí thực tế)'!Y7=0,"",ROUND('EV (Hoàn thành thực tế)'!Y7/'AC (Chi phí thực tế)'!Y7,2))</f>
        <v/>
      </c>
      <c r="Z7" s="2" t="str">
        <f>IF('AC (Chi phí thực tế)'!Z7=0,"",ROUND('EV (Hoàn thành thực tế)'!Z7/'AC (Chi phí thực tế)'!Z7,2))</f>
        <v/>
      </c>
      <c r="AA7" s="2" t="str">
        <f>IF('AC (Chi phí thực tế)'!AA7=0,"",ROUND('EV (Hoàn thành thực tế)'!AA7/'AC (Chi phí thực tế)'!AA7,2))</f>
        <v/>
      </c>
    </row>
    <row r="8" spans="2:27" ht="21.95" customHeight="1">
      <c r="B8" s="2">
        <v>6</v>
      </c>
      <c r="C8" s="3" t="str">
        <f>'PV (Kế hoạch)'!C8</f>
        <v>Phát triển Backend - Module Order</v>
      </c>
      <c r="D8" s="2" t="str">
        <f>IF('AC (Chi phí thực tế)'!D8=0,"",ROUND('EV (Hoàn thành thực tế)'!D8/'AC (Chi phí thực tế)'!D8,2))</f>
        <v/>
      </c>
      <c r="E8" s="2" t="str">
        <f>IF('AC (Chi phí thực tế)'!E8=0,"",ROUND('EV (Hoàn thành thực tế)'!E8/'AC (Chi phí thực tế)'!E8,2))</f>
        <v/>
      </c>
      <c r="F8" s="2" t="str">
        <f>IF('AC (Chi phí thực tế)'!F8=0,"",ROUND('EV (Hoàn thành thực tế)'!F8/'AC (Chi phí thực tế)'!F8,2))</f>
        <v/>
      </c>
      <c r="G8" s="2" t="str">
        <f>IF('AC (Chi phí thực tế)'!G8=0,"",ROUND('EV (Hoàn thành thực tế)'!G8/'AC (Chi phí thực tế)'!G8,2))</f>
        <v/>
      </c>
      <c r="H8" s="2" t="str">
        <f>IF('AC (Chi phí thực tế)'!H8=0,"",ROUND('EV (Hoàn thành thực tế)'!H8/'AC (Chi phí thực tế)'!H8,2))</f>
        <v/>
      </c>
      <c r="I8" s="2" t="str">
        <f>IF('AC (Chi phí thực tế)'!I8=0,"",ROUND('EV (Hoàn thành thực tế)'!I8/'AC (Chi phí thực tế)'!I8,2))</f>
        <v/>
      </c>
      <c r="J8" s="2" t="str">
        <f>IF('AC (Chi phí thực tế)'!J8=0,"",ROUND('EV (Hoàn thành thực tế)'!J8/'AC (Chi phí thực tế)'!J8,2))</f>
        <v/>
      </c>
      <c r="K8" s="2">
        <f>IF('AC (Chi phí thực tế)'!K8=0,"",ROUND('EV (Hoàn thành thực tế)'!K8/'AC (Chi phí thực tế)'!K8,2))</f>
        <v>1</v>
      </c>
      <c r="L8" s="2">
        <f>IF('AC (Chi phí thực tế)'!L8=0,"",ROUND('EV (Hoàn thành thực tế)'!L8/'AC (Chi phí thực tế)'!L8,2))</f>
        <v>1</v>
      </c>
      <c r="M8" s="2">
        <f>IF('AC (Chi phí thực tế)'!M8=0,"",ROUND('EV (Hoàn thành thực tế)'!M8/'AC (Chi phí thực tế)'!M8,2))</f>
        <v>0.83</v>
      </c>
      <c r="N8" s="2">
        <f>IF('AC (Chi phí thực tế)'!N8=0,"",ROUND('EV (Hoàn thành thực tế)'!N8/'AC (Chi phí thực tế)'!N8,2))</f>
        <v>0.83</v>
      </c>
      <c r="O8" s="2">
        <f>IF('AC (Chi phí thực tế)'!O8=0,"",ROUND('EV (Hoàn thành thực tế)'!O8/'AC (Chi phí thực tế)'!O8,2))</f>
        <v>0.75</v>
      </c>
      <c r="P8" s="2" t="str">
        <f>IF('AC (Chi phí thực tế)'!P8=0,"",ROUND('EV (Hoàn thành thực tế)'!P8/'AC (Chi phí thực tế)'!P8,2))</f>
        <v/>
      </c>
      <c r="Q8" s="2" t="str">
        <f>IF('AC (Chi phí thực tế)'!Q8=0,"",ROUND('EV (Hoàn thành thực tế)'!Q8/'AC (Chi phí thực tế)'!Q8,2))</f>
        <v/>
      </c>
      <c r="R8" s="2" t="str">
        <f>IF('AC (Chi phí thực tế)'!R8=0,"",ROUND('EV (Hoàn thành thực tế)'!R8/'AC (Chi phí thực tế)'!R8,2))</f>
        <v/>
      </c>
      <c r="S8" s="2" t="str">
        <f>IF('AC (Chi phí thực tế)'!S8=0,"",ROUND('EV (Hoàn thành thực tế)'!S8/'AC (Chi phí thực tế)'!S8,2))</f>
        <v/>
      </c>
      <c r="T8" s="2" t="str">
        <f>IF('AC (Chi phí thực tế)'!T8=0,"",ROUND('EV (Hoàn thành thực tế)'!T8/'AC (Chi phí thực tế)'!T8,2))</f>
        <v/>
      </c>
      <c r="U8" s="2" t="str">
        <f>IF('AC (Chi phí thực tế)'!U8=0,"",ROUND('EV (Hoàn thành thực tế)'!U8/'AC (Chi phí thực tế)'!U8,2))</f>
        <v/>
      </c>
      <c r="V8" s="2" t="str">
        <f>IF('AC (Chi phí thực tế)'!V8=0,"",ROUND('EV (Hoàn thành thực tế)'!V8/'AC (Chi phí thực tế)'!V8,2))</f>
        <v/>
      </c>
      <c r="W8" s="2" t="str">
        <f>IF('AC (Chi phí thực tế)'!W8=0,"",ROUND('EV (Hoàn thành thực tế)'!W8/'AC (Chi phí thực tế)'!W8,2))</f>
        <v/>
      </c>
      <c r="X8" s="2" t="str">
        <f>IF('AC (Chi phí thực tế)'!X8=0,"",ROUND('EV (Hoàn thành thực tế)'!X8/'AC (Chi phí thực tế)'!X8,2))</f>
        <v/>
      </c>
      <c r="Y8" s="2" t="str">
        <f>IF('AC (Chi phí thực tế)'!Y8=0,"",ROUND('EV (Hoàn thành thực tế)'!Y8/'AC (Chi phí thực tế)'!Y8,2))</f>
        <v/>
      </c>
      <c r="Z8" s="2" t="str">
        <f>IF('AC (Chi phí thực tế)'!Z8=0,"",ROUND('EV (Hoàn thành thực tế)'!Z8/'AC (Chi phí thực tế)'!Z8,2))</f>
        <v/>
      </c>
      <c r="AA8" s="2" t="str">
        <f>IF('AC (Chi phí thực tế)'!AA8=0,"",ROUND('EV (Hoàn thành thực tế)'!AA8/'AC (Chi phí thực tế)'!AA8,2))</f>
        <v/>
      </c>
    </row>
    <row r="9" spans="2:27" ht="21.95" customHeight="1">
      <c r="B9" s="2">
        <v>7</v>
      </c>
      <c r="C9" s="3" t="str">
        <f>'PV (Kế hoạch)'!C9</f>
        <v>Phát triển Backend - Module Payment</v>
      </c>
      <c r="D9" s="2" t="str">
        <f>IF('AC (Chi phí thực tế)'!D9=0,"",ROUND('EV (Hoàn thành thực tế)'!D9/'AC (Chi phí thực tế)'!D9,2))</f>
        <v/>
      </c>
      <c r="E9" s="2" t="str">
        <f>IF('AC (Chi phí thực tế)'!E9=0,"",ROUND('EV (Hoàn thành thực tế)'!E9/'AC (Chi phí thực tế)'!E9,2))</f>
        <v/>
      </c>
      <c r="F9" s="2" t="str">
        <f>IF('AC (Chi phí thực tế)'!F9=0,"",ROUND('EV (Hoàn thành thực tế)'!F9/'AC (Chi phí thực tế)'!F9,2))</f>
        <v/>
      </c>
      <c r="G9" s="2" t="str">
        <f>IF('AC (Chi phí thực tế)'!G9=0,"",ROUND('EV (Hoàn thành thực tế)'!G9/'AC (Chi phí thực tế)'!G9,2))</f>
        <v/>
      </c>
      <c r="H9" s="2" t="str">
        <f>IF('AC (Chi phí thực tế)'!H9=0,"",ROUND('EV (Hoàn thành thực tế)'!H9/'AC (Chi phí thực tế)'!H9,2))</f>
        <v/>
      </c>
      <c r="I9" s="2" t="str">
        <f>IF('AC (Chi phí thực tế)'!I9=0,"",ROUND('EV (Hoàn thành thực tế)'!I9/'AC (Chi phí thực tế)'!I9,2))</f>
        <v/>
      </c>
      <c r="J9" s="2" t="str">
        <f>IF('AC (Chi phí thực tế)'!J9=0,"",ROUND('EV (Hoàn thành thực tế)'!J9/'AC (Chi phí thực tế)'!J9,2))</f>
        <v/>
      </c>
      <c r="K9" s="2" t="str">
        <f>IF('AC (Chi phí thực tế)'!K9=0,"",ROUND('EV (Hoàn thành thực tế)'!K9/'AC (Chi phí thực tế)'!K9,2))</f>
        <v/>
      </c>
      <c r="L9" s="2" t="str">
        <f>IF('AC (Chi phí thực tế)'!L9=0,"",ROUND('EV (Hoàn thành thực tế)'!L9/'AC (Chi phí thực tế)'!L9,2))</f>
        <v/>
      </c>
      <c r="M9" s="2">
        <f>IF('AC (Chi phí thực tế)'!M9=0,"",ROUND('EV (Hoàn thành thực tế)'!M9/'AC (Chi phí thực tế)'!M9,2))</f>
        <v>1.02</v>
      </c>
      <c r="N9" s="2">
        <f>IF('AC (Chi phí thực tế)'!N9=0,"",ROUND('EV (Hoàn thành thực tế)'!N9/'AC (Chi phí thực tế)'!N9,2))</f>
        <v>0.99</v>
      </c>
      <c r="O9" s="2">
        <f>IF('AC (Chi phí thực tế)'!O9=0,"",ROUND('EV (Hoàn thành thực tế)'!O9/'AC (Chi phí thực tế)'!O9,2))</f>
        <v>0.85</v>
      </c>
      <c r="P9" s="2">
        <f>IF('AC (Chi phí thực tế)'!P9=0,"",ROUND('EV (Hoàn thành thực tế)'!P9/'AC (Chi phí thực tế)'!P9,2))</f>
        <v>0.82</v>
      </c>
      <c r="Q9" s="2">
        <f>IF('AC (Chi phí thực tế)'!Q9=0,"",ROUND('EV (Hoàn thành thực tế)'!Q9/'AC (Chi phí thực tế)'!Q9,2))</f>
        <v>0</v>
      </c>
      <c r="R9" s="2" t="str">
        <f>IF('AC (Chi phí thực tế)'!R9=0,"",ROUND('EV (Hoàn thành thực tế)'!R9/'AC (Chi phí thực tế)'!R9,2))</f>
        <v/>
      </c>
      <c r="S9" s="2" t="str">
        <f>IF('AC (Chi phí thực tế)'!S9=0,"",ROUND('EV (Hoàn thành thực tế)'!S9/'AC (Chi phí thực tế)'!S9,2))</f>
        <v/>
      </c>
      <c r="T9" s="2" t="str">
        <f>IF('AC (Chi phí thực tế)'!T9=0,"",ROUND('EV (Hoàn thành thực tế)'!T9/'AC (Chi phí thực tế)'!T9,2))</f>
        <v/>
      </c>
      <c r="U9" s="2" t="str">
        <f>IF('AC (Chi phí thực tế)'!U9=0,"",ROUND('EV (Hoàn thành thực tế)'!U9/'AC (Chi phí thực tế)'!U9,2))</f>
        <v/>
      </c>
      <c r="V9" s="2" t="str">
        <f>IF('AC (Chi phí thực tế)'!V9=0,"",ROUND('EV (Hoàn thành thực tế)'!V9/'AC (Chi phí thực tế)'!V9,2))</f>
        <v/>
      </c>
      <c r="W9" s="2" t="str">
        <f>IF('AC (Chi phí thực tế)'!W9=0,"",ROUND('EV (Hoàn thành thực tế)'!W9/'AC (Chi phí thực tế)'!W9,2))</f>
        <v/>
      </c>
      <c r="X9" s="2" t="str">
        <f>IF('AC (Chi phí thực tế)'!X9=0,"",ROUND('EV (Hoàn thành thực tế)'!X9/'AC (Chi phí thực tế)'!X9,2))</f>
        <v/>
      </c>
      <c r="Y9" s="2" t="str">
        <f>IF('AC (Chi phí thực tế)'!Y9=0,"",ROUND('EV (Hoàn thành thực tế)'!Y9/'AC (Chi phí thực tế)'!Y9,2))</f>
        <v/>
      </c>
      <c r="Z9" s="2" t="str">
        <f>IF('AC (Chi phí thực tế)'!Z9=0,"",ROUND('EV (Hoàn thành thực tế)'!Z9/'AC (Chi phí thực tế)'!Z9,2))</f>
        <v/>
      </c>
      <c r="AA9" s="2" t="str">
        <f>IF('AC (Chi phí thực tế)'!AA9=0,"",ROUND('EV (Hoàn thành thực tế)'!AA9/'AC (Chi phí thực tế)'!AA9,2))</f>
        <v/>
      </c>
    </row>
    <row r="10" spans="2:27" ht="21.95" customHeight="1">
      <c r="B10" s="2">
        <v>8</v>
      </c>
      <c r="C10" s="3" t="str">
        <f>'PV (Kế hoạch)'!C10</f>
        <v>Phát triển Backend - Module Report</v>
      </c>
      <c r="D10" s="2" t="str">
        <f>IF('AC (Chi phí thực tế)'!D10=0,"",ROUND('EV (Hoàn thành thực tế)'!D10/'AC (Chi phí thực tế)'!D10,2))</f>
        <v/>
      </c>
      <c r="E10" s="2" t="str">
        <f>IF('AC (Chi phí thực tế)'!E10=0,"",ROUND('EV (Hoàn thành thực tế)'!E10/'AC (Chi phí thực tế)'!E10,2))</f>
        <v/>
      </c>
      <c r="F10" s="2" t="str">
        <f>IF('AC (Chi phí thực tế)'!F10=0,"",ROUND('EV (Hoàn thành thực tế)'!F10/'AC (Chi phí thực tế)'!F10,2))</f>
        <v/>
      </c>
      <c r="G10" s="2" t="str">
        <f>IF('AC (Chi phí thực tế)'!G10=0,"",ROUND('EV (Hoàn thành thực tế)'!G10/'AC (Chi phí thực tế)'!G10,2))</f>
        <v/>
      </c>
      <c r="H10" s="2" t="str">
        <f>IF('AC (Chi phí thực tế)'!H10=0,"",ROUND('EV (Hoàn thành thực tế)'!H10/'AC (Chi phí thực tế)'!H10,2))</f>
        <v/>
      </c>
      <c r="I10" s="2" t="str">
        <f>IF('AC (Chi phí thực tế)'!I10=0,"",ROUND('EV (Hoàn thành thực tế)'!I10/'AC (Chi phí thực tế)'!I10,2))</f>
        <v/>
      </c>
      <c r="J10" s="2" t="str">
        <f>IF('AC (Chi phí thực tế)'!J10=0,"",ROUND('EV (Hoàn thành thực tế)'!J10/'AC (Chi phí thực tế)'!J10,2))</f>
        <v/>
      </c>
      <c r="K10" s="2" t="str">
        <f>IF('AC (Chi phí thực tế)'!K10=0,"",ROUND('EV (Hoàn thành thực tế)'!K10/'AC (Chi phí thực tế)'!K10,2))</f>
        <v/>
      </c>
      <c r="L10" s="2" t="str">
        <f>IF('AC (Chi phí thực tế)'!L10=0,"",ROUND('EV (Hoàn thành thực tế)'!L10/'AC (Chi phí thực tế)'!L10,2))</f>
        <v/>
      </c>
      <c r="M10" s="2" t="str">
        <f>IF('AC (Chi phí thực tế)'!M10=0,"",ROUND('EV (Hoàn thành thực tế)'!M10/'AC (Chi phí thực tế)'!M10,2))</f>
        <v/>
      </c>
      <c r="N10" s="2" t="str">
        <f>IF('AC (Chi phí thực tế)'!N10=0,"",ROUND('EV (Hoàn thành thực tế)'!N10/'AC (Chi phí thực tế)'!N10,2))</f>
        <v/>
      </c>
      <c r="O10" s="2">
        <f>IF('AC (Chi phí thực tế)'!O10=0,"",ROUND('EV (Hoàn thành thực tế)'!O10/'AC (Chi phí thực tế)'!O10,2))</f>
        <v>0.98</v>
      </c>
      <c r="P10" s="2">
        <f>IF('AC (Chi phí thực tế)'!P10=0,"",ROUND('EV (Hoàn thành thực tế)'!P10/'AC (Chi phí thực tế)'!P10,2))</f>
        <v>1.02</v>
      </c>
      <c r="Q10" s="2">
        <f>IF('AC (Chi phí thực tế)'!Q10=0,"",ROUND('EV (Hoàn thành thực tế)'!Q10/'AC (Chi phí thực tế)'!Q10,2))</f>
        <v>0.83</v>
      </c>
      <c r="R10" s="2">
        <f>IF('AC (Chi phí thực tế)'!R10=0,"",ROUND('EV (Hoàn thành thực tế)'!R10/'AC (Chi phí thực tế)'!R10,2))</f>
        <v>0.75</v>
      </c>
      <c r="S10" s="2" t="str">
        <f>IF('AC (Chi phí thực tế)'!S10=0,"",ROUND('EV (Hoàn thành thực tế)'!S10/'AC (Chi phí thực tế)'!S10,2))</f>
        <v/>
      </c>
      <c r="T10" s="2" t="str">
        <f>IF('AC (Chi phí thực tế)'!T10=0,"",ROUND('EV (Hoàn thành thực tế)'!T10/'AC (Chi phí thực tế)'!T10,2))</f>
        <v/>
      </c>
      <c r="U10" s="2" t="str">
        <f>IF('AC (Chi phí thực tế)'!U10=0,"",ROUND('EV (Hoàn thành thực tế)'!U10/'AC (Chi phí thực tế)'!U10,2))</f>
        <v/>
      </c>
      <c r="V10" s="2" t="str">
        <f>IF('AC (Chi phí thực tế)'!V10=0,"",ROUND('EV (Hoàn thành thực tế)'!V10/'AC (Chi phí thực tế)'!V10,2))</f>
        <v/>
      </c>
      <c r="W10" s="2" t="str">
        <f>IF('AC (Chi phí thực tế)'!W10=0,"",ROUND('EV (Hoàn thành thực tế)'!W10/'AC (Chi phí thực tế)'!W10,2))</f>
        <v/>
      </c>
      <c r="X10" s="2" t="str">
        <f>IF('AC (Chi phí thực tế)'!X10=0,"",ROUND('EV (Hoàn thành thực tế)'!X10/'AC (Chi phí thực tế)'!X10,2))</f>
        <v/>
      </c>
      <c r="Y10" s="2" t="str">
        <f>IF('AC (Chi phí thực tế)'!Y10=0,"",ROUND('EV (Hoàn thành thực tế)'!Y10/'AC (Chi phí thực tế)'!Y10,2))</f>
        <v/>
      </c>
      <c r="Z10" s="2" t="str">
        <f>IF('AC (Chi phí thực tế)'!Z10=0,"",ROUND('EV (Hoàn thành thực tế)'!Z10/'AC (Chi phí thực tế)'!Z10,2))</f>
        <v/>
      </c>
      <c r="AA10" s="2" t="str">
        <f>IF('AC (Chi phí thực tế)'!AA10=0,"",ROUND('EV (Hoàn thành thực tế)'!AA10/'AC (Chi phí thực tế)'!AA10,2))</f>
        <v/>
      </c>
    </row>
    <row r="11" spans="2:27" ht="21.95" customHeight="1">
      <c r="B11" s="2">
        <v>9</v>
      </c>
      <c r="C11" s="3" t="str">
        <f>'PV (Kế hoạch)'!C11</f>
        <v>Phát triển Frontend - Trang chủ</v>
      </c>
      <c r="D11" s="2" t="str">
        <f>IF('AC (Chi phí thực tế)'!D11=0,"",ROUND('EV (Hoàn thành thực tế)'!D11/'AC (Chi phí thực tế)'!D11,2))</f>
        <v/>
      </c>
      <c r="E11" s="2" t="str">
        <f>IF('AC (Chi phí thực tế)'!E11=0,"",ROUND('EV (Hoàn thành thực tế)'!E11/'AC (Chi phí thực tế)'!E11,2))</f>
        <v/>
      </c>
      <c r="F11" s="2" t="str">
        <f>IF('AC (Chi phí thực tế)'!F11=0,"",ROUND('EV (Hoàn thành thực tế)'!F11/'AC (Chi phí thực tế)'!F11,2))</f>
        <v/>
      </c>
      <c r="G11" s="2" t="str">
        <f>IF('AC (Chi phí thực tế)'!G11=0,"",ROUND('EV (Hoàn thành thực tế)'!G11/'AC (Chi phí thực tế)'!G11,2))</f>
        <v/>
      </c>
      <c r="H11" s="2" t="str">
        <f>IF('AC (Chi phí thực tế)'!H11=0,"",ROUND('EV (Hoàn thành thực tế)'!H11/'AC (Chi phí thực tế)'!H11,2))</f>
        <v/>
      </c>
      <c r="I11" s="2" t="str">
        <f>IF('AC (Chi phí thực tế)'!I11=0,"",ROUND('EV (Hoàn thành thực tế)'!I11/'AC (Chi phí thực tế)'!I11,2))</f>
        <v/>
      </c>
      <c r="J11" s="2">
        <f>IF('AC (Chi phí thực tế)'!J11=0,"",ROUND('EV (Hoàn thành thực tế)'!J11/'AC (Chi phí thực tế)'!J11,2))</f>
        <v>0.67</v>
      </c>
      <c r="K11" s="2">
        <f>IF('AC (Chi phí thực tế)'!K11=0,"",ROUND('EV (Hoàn thành thực tế)'!K11/'AC (Chi phí thực tế)'!K11,2))</f>
        <v>1.01</v>
      </c>
      <c r="L11" s="2">
        <f>IF('AC (Chi phí thực tế)'!L11=0,"",ROUND('EV (Hoàn thành thực tế)'!L11/'AC (Chi phí thực tế)'!L11,2))</f>
        <v>0.74</v>
      </c>
      <c r="M11" s="2" t="str">
        <f>IF('AC (Chi phí thực tế)'!M11=0,"",ROUND('EV (Hoàn thành thực tế)'!M11/'AC (Chi phí thực tế)'!M11,2))</f>
        <v/>
      </c>
      <c r="N11" s="2" t="str">
        <f>IF('AC (Chi phí thực tế)'!N11=0,"",ROUND('EV (Hoàn thành thực tế)'!N11/'AC (Chi phí thực tế)'!N11,2))</f>
        <v/>
      </c>
      <c r="O11" s="2" t="str">
        <f>IF('AC (Chi phí thực tế)'!O11=0,"",ROUND('EV (Hoàn thành thực tế)'!O11/'AC (Chi phí thực tế)'!O11,2))</f>
        <v/>
      </c>
      <c r="P11" s="2" t="str">
        <f>IF('AC (Chi phí thực tế)'!P11=0,"",ROUND('EV (Hoàn thành thực tế)'!P11/'AC (Chi phí thực tế)'!P11,2))</f>
        <v/>
      </c>
      <c r="Q11" s="2" t="str">
        <f>IF('AC (Chi phí thực tế)'!Q11=0,"",ROUND('EV (Hoàn thành thực tế)'!Q11/'AC (Chi phí thực tế)'!Q11,2))</f>
        <v/>
      </c>
      <c r="R11" s="2" t="str">
        <f>IF('AC (Chi phí thực tế)'!R11=0,"",ROUND('EV (Hoàn thành thực tế)'!R11/'AC (Chi phí thực tế)'!R11,2))</f>
        <v/>
      </c>
      <c r="S11" s="2" t="str">
        <f>IF('AC (Chi phí thực tế)'!S11=0,"",ROUND('EV (Hoàn thành thực tế)'!S11/'AC (Chi phí thực tế)'!S11,2))</f>
        <v/>
      </c>
      <c r="T11" s="2" t="str">
        <f>IF('AC (Chi phí thực tế)'!T11=0,"",ROUND('EV (Hoàn thành thực tế)'!T11/'AC (Chi phí thực tế)'!T11,2))</f>
        <v/>
      </c>
      <c r="U11" s="2" t="str">
        <f>IF('AC (Chi phí thực tế)'!U11=0,"",ROUND('EV (Hoàn thành thực tế)'!U11/'AC (Chi phí thực tế)'!U11,2))</f>
        <v/>
      </c>
      <c r="V11" s="2" t="str">
        <f>IF('AC (Chi phí thực tế)'!V11=0,"",ROUND('EV (Hoàn thành thực tế)'!V11/'AC (Chi phí thực tế)'!V11,2))</f>
        <v/>
      </c>
      <c r="W11" s="2" t="str">
        <f>IF('AC (Chi phí thực tế)'!W11=0,"",ROUND('EV (Hoàn thành thực tế)'!W11/'AC (Chi phí thực tế)'!W11,2))</f>
        <v/>
      </c>
      <c r="X11" s="2" t="str">
        <f>IF('AC (Chi phí thực tế)'!X11=0,"",ROUND('EV (Hoàn thành thực tế)'!X11/'AC (Chi phí thực tế)'!X11,2))</f>
        <v/>
      </c>
      <c r="Y11" s="2" t="str">
        <f>IF('AC (Chi phí thực tế)'!Y11=0,"",ROUND('EV (Hoàn thành thực tế)'!Y11/'AC (Chi phí thực tế)'!Y11,2))</f>
        <v/>
      </c>
      <c r="Z11" s="2" t="str">
        <f>IF('AC (Chi phí thực tế)'!Z11=0,"",ROUND('EV (Hoàn thành thực tế)'!Z11/'AC (Chi phí thực tế)'!Z11,2))</f>
        <v/>
      </c>
      <c r="AA11" s="2" t="str">
        <f>IF('AC (Chi phí thực tế)'!AA11=0,"",ROUND('EV (Hoàn thành thực tế)'!AA11/'AC (Chi phí thực tế)'!AA11,2))</f>
        <v/>
      </c>
    </row>
    <row r="12" spans="2:27" ht="21.95" customHeight="1">
      <c r="B12" s="2">
        <v>10</v>
      </c>
      <c r="C12" s="3" t="str">
        <f>'PV (Kế hoạch)'!C12</f>
        <v>Phát triển Frontend - Module User</v>
      </c>
      <c r="D12" s="2" t="str">
        <f>IF('AC (Chi phí thực tế)'!D12=0,"",ROUND('EV (Hoàn thành thực tế)'!D12/'AC (Chi phí thực tế)'!D12,2))</f>
        <v/>
      </c>
      <c r="E12" s="2" t="str">
        <f>IF('AC (Chi phí thực tế)'!E12=0,"",ROUND('EV (Hoàn thành thực tế)'!E12/'AC (Chi phí thực tế)'!E12,2))</f>
        <v/>
      </c>
      <c r="F12" s="2" t="str">
        <f>IF('AC (Chi phí thực tế)'!F12=0,"",ROUND('EV (Hoàn thành thực tế)'!F12/'AC (Chi phí thực tế)'!F12,2))</f>
        <v/>
      </c>
      <c r="G12" s="2" t="str">
        <f>IF('AC (Chi phí thực tế)'!G12=0,"",ROUND('EV (Hoàn thành thực tế)'!G12/'AC (Chi phí thực tế)'!G12,2))</f>
        <v/>
      </c>
      <c r="H12" s="2" t="str">
        <f>IF('AC (Chi phí thực tế)'!H12=0,"",ROUND('EV (Hoàn thành thực tế)'!H12/'AC (Chi phí thực tế)'!H12,2))</f>
        <v/>
      </c>
      <c r="I12" s="2" t="str">
        <f>IF('AC (Chi phí thực tế)'!I12=0,"",ROUND('EV (Hoàn thành thực tế)'!I12/'AC (Chi phí thực tế)'!I12,2))</f>
        <v/>
      </c>
      <c r="J12" s="2" t="str">
        <f>IF('AC (Chi phí thực tế)'!J12=0,"",ROUND('EV (Hoàn thành thực tế)'!J12/'AC (Chi phí thực tế)'!J12,2))</f>
        <v/>
      </c>
      <c r="K12" s="2" t="str">
        <f>IF('AC (Chi phí thực tế)'!K12=0,"",ROUND('EV (Hoàn thành thực tế)'!K12/'AC (Chi phí thực tế)'!K12,2))</f>
        <v/>
      </c>
      <c r="L12" s="2">
        <f>IF('AC (Chi phí thực tế)'!L12=0,"",ROUND('EV (Hoàn thành thực tế)'!L12/'AC (Chi phí thực tế)'!L12,2))</f>
        <v>0.98</v>
      </c>
      <c r="M12" s="2">
        <f>IF('AC (Chi phí thực tế)'!M12=0,"",ROUND('EV (Hoàn thành thực tế)'!M12/'AC (Chi phí thực tế)'!M12,2))</f>
        <v>1.02</v>
      </c>
      <c r="N12" s="2">
        <f>IF('AC (Chi phí thực tế)'!N12=0,"",ROUND('EV (Hoàn thành thực tế)'!N12/'AC (Chi phí thực tế)'!N12,2))</f>
        <v>0.83</v>
      </c>
      <c r="O12" s="2">
        <f>IF('AC (Chi phí thực tế)'!O12=0,"",ROUND('EV (Hoàn thành thực tế)'!O12/'AC (Chi phí thực tế)'!O12,2))</f>
        <v>0.75</v>
      </c>
      <c r="P12" s="2" t="str">
        <f>IF('AC (Chi phí thực tế)'!P12=0,"",ROUND('EV (Hoàn thành thực tế)'!P12/'AC (Chi phí thực tế)'!P12,2))</f>
        <v/>
      </c>
      <c r="Q12" s="2" t="str">
        <f>IF('AC (Chi phí thực tế)'!Q12=0,"",ROUND('EV (Hoàn thành thực tế)'!Q12/'AC (Chi phí thực tế)'!Q12,2))</f>
        <v/>
      </c>
      <c r="R12" s="2" t="str">
        <f>IF('AC (Chi phí thực tế)'!R12=0,"",ROUND('EV (Hoàn thành thực tế)'!R12/'AC (Chi phí thực tế)'!R12,2))</f>
        <v/>
      </c>
      <c r="S12" s="2" t="str">
        <f>IF('AC (Chi phí thực tế)'!S12=0,"",ROUND('EV (Hoàn thành thực tế)'!S12/'AC (Chi phí thực tế)'!S12,2))</f>
        <v/>
      </c>
      <c r="T12" s="2" t="str">
        <f>IF('AC (Chi phí thực tế)'!T12=0,"",ROUND('EV (Hoàn thành thực tế)'!T12/'AC (Chi phí thực tế)'!T12,2))</f>
        <v/>
      </c>
      <c r="U12" s="2" t="str">
        <f>IF('AC (Chi phí thực tế)'!U12=0,"",ROUND('EV (Hoàn thành thực tế)'!U12/'AC (Chi phí thực tế)'!U12,2))</f>
        <v/>
      </c>
      <c r="V12" s="2" t="str">
        <f>IF('AC (Chi phí thực tế)'!V12=0,"",ROUND('EV (Hoàn thành thực tế)'!V12/'AC (Chi phí thực tế)'!V12,2))</f>
        <v/>
      </c>
      <c r="W12" s="2" t="str">
        <f>IF('AC (Chi phí thực tế)'!W12=0,"",ROUND('EV (Hoàn thành thực tế)'!W12/'AC (Chi phí thực tế)'!W12,2))</f>
        <v/>
      </c>
      <c r="X12" s="2" t="str">
        <f>IF('AC (Chi phí thực tế)'!X12=0,"",ROUND('EV (Hoàn thành thực tế)'!X12/'AC (Chi phí thực tế)'!X12,2))</f>
        <v/>
      </c>
      <c r="Y12" s="2" t="str">
        <f>IF('AC (Chi phí thực tế)'!Y12=0,"",ROUND('EV (Hoàn thành thực tế)'!Y12/'AC (Chi phí thực tế)'!Y12,2))</f>
        <v/>
      </c>
      <c r="Z12" s="2" t="str">
        <f>IF('AC (Chi phí thực tế)'!Z12=0,"",ROUND('EV (Hoàn thành thực tế)'!Z12/'AC (Chi phí thực tế)'!Z12,2))</f>
        <v/>
      </c>
      <c r="AA12" s="2" t="str">
        <f>IF('AC (Chi phí thực tế)'!AA12=0,"",ROUND('EV (Hoàn thành thực tế)'!AA12/'AC (Chi phí thực tế)'!AA12,2))</f>
        <v/>
      </c>
    </row>
    <row r="13" spans="2:27" ht="21.95" customHeight="1">
      <c r="B13" s="2">
        <v>11</v>
      </c>
      <c r="C13" s="3" t="str">
        <f>'PV (Kế hoạch)'!C13</f>
        <v>Phát triển Frontend - Module Order</v>
      </c>
      <c r="D13" s="2" t="str">
        <f>IF('AC (Chi phí thực tế)'!D13=0,"",ROUND('EV (Hoàn thành thực tế)'!D13/'AC (Chi phí thực tế)'!D13,2))</f>
        <v/>
      </c>
      <c r="E13" s="2" t="str">
        <f>IF('AC (Chi phí thực tế)'!E13=0,"",ROUND('EV (Hoàn thành thực tế)'!E13/'AC (Chi phí thực tế)'!E13,2))</f>
        <v/>
      </c>
      <c r="F13" s="2" t="str">
        <f>IF('AC (Chi phí thực tế)'!F13=0,"",ROUND('EV (Hoàn thành thực tế)'!F13/'AC (Chi phí thực tế)'!F13,2))</f>
        <v/>
      </c>
      <c r="G13" s="2" t="str">
        <f>IF('AC (Chi phí thực tế)'!G13=0,"",ROUND('EV (Hoàn thành thực tế)'!G13/'AC (Chi phí thực tế)'!G13,2))</f>
        <v/>
      </c>
      <c r="H13" s="2" t="str">
        <f>IF('AC (Chi phí thực tế)'!H13=0,"",ROUND('EV (Hoàn thành thực tế)'!H13/'AC (Chi phí thực tế)'!H13,2))</f>
        <v/>
      </c>
      <c r="I13" s="2" t="str">
        <f>IF('AC (Chi phí thực tế)'!I13=0,"",ROUND('EV (Hoàn thành thực tế)'!I13/'AC (Chi phí thực tế)'!I13,2))</f>
        <v/>
      </c>
      <c r="J13" s="2" t="str">
        <f>IF('AC (Chi phí thực tế)'!J13=0,"",ROUND('EV (Hoàn thành thực tế)'!J13/'AC (Chi phí thực tế)'!J13,2))</f>
        <v/>
      </c>
      <c r="K13" s="2" t="str">
        <f>IF('AC (Chi phí thực tế)'!K13=0,"",ROUND('EV (Hoàn thành thực tế)'!K13/'AC (Chi phí thực tế)'!K13,2))</f>
        <v/>
      </c>
      <c r="L13" s="2" t="str">
        <f>IF('AC (Chi phí thực tế)'!L13=0,"",ROUND('EV (Hoàn thành thực tế)'!L13/'AC (Chi phí thực tế)'!L13,2))</f>
        <v/>
      </c>
      <c r="M13" s="2" t="str">
        <f>IF('AC (Chi phí thực tế)'!M13=0,"",ROUND('EV (Hoàn thành thực tế)'!M13/'AC (Chi phí thực tế)'!M13,2))</f>
        <v/>
      </c>
      <c r="N13" s="2">
        <f>IF('AC (Chi phí thực tế)'!N13=0,"",ROUND('EV (Hoàn thành thực tế)'!N13/'AC (Chi phí thực tế)'!N13,2))</f>
        <v>0.98</v>
      </c>
      <c r="O13" s="2">
        <f>IF('AC (Chi phí thực tế)'!O13=0,"",ROUND('EV (Hoàn thành thực tế)'!O13/'AC (Chi phí thực tế)'!O13,2))</f>
        <v>1.02</v>
      </c>
      <c r="P13" s="2">
        <f>IF('AC (Chi phí thực tế)'!P13=0,"",ROUND('EV (Hoàn thành thực tế)'!P13/'AC (Chi phí thực tế)'!P13,2))</f>
        <v>0.83</v>
      </c>
      <c r="Q13" s="2">
        <f>IF('AC (Chi phí thực tế)'!Q13=0,"",ROUND('EV (Hoàn thành thực tế)'!Q13/'AC (Chi phí thực tế)'!Q13,2))</f>
        <v>0.75</v>
      </c>
      <c r="R13" s="2" t="str">
        <f>IF('AC (Chi phí thực tế)'!R13=0,"",ROUND('EV (Hoàn thành thực tế)'!R13/'AC (Chi phí thực tế)'!R13,2))</f>
        <v/>
      </c>
      <c r="S13" s="2" t="str">
        <f>IF('AC (Chi phí thực tế)'!S13=0,"",ROUND('EV (Hoàn thành thực tế)'!S13/'AC (Chi phí thực tế)'!S13,2))</f>
        <v/>
      </c>
      <c r="T13" s="2" t="str">
        <f>IF('AC (Chi phí thực tế)'!T13=0,"",ROUND('EV (Hoàn thành thực tế)'!T13/'AC (Chi phí thực tế)'!T13,2))</f>
        <v/>
      </c>
      <c r="U13" s="2" t="str">
        <f>IF('AC (Chi phí thực tế)'!U13=0,"",ROUND('EV (Hoàn thành thực tế)'!U13/'AC (Chi phí thực tế)'!U13,2))</f>
        <v/>
      </c>
      <c r="V13" s="2" t="str">
        <f>IF('AC (Chi phí thực tế)'!V13=0,"",ROUND('EV (Hoàn thành thực tế)'!V13/'AC (Chi phí thực tế)'!V13,2))</f>
        <v/>
      </c>
      <c r="W13" s="2" t="str">
        <f>IF('AC (Chi phí thực tế)'!W13=0,"",ROUND('EV (Hoàn thành thực tế)'!W13/'AC (Chi phí thực tế)'!W13,2))</f>
        <v/>
      </c>
      <c r="X13" s="2" t="str">
        <f>IF('AC (Chi phí thực tế)'!X13=0,"",ROUND('EV (Hoàn thành thực tế)'!X13/'AC (Chi phí thực tế)'!X13,2))</f>
        <v/>
      </c>
      <c r="Y13" s="2" t="str">
        <f>IF('AC (Chi phí thực tế)'!Y13=0,"",ROUND('EV (Hoàn thành thực tế)'!Y13/'AC (Chi phí thực tế)'!Y13,2))</f>
        <v/>
      </c>
      <c r="Z13" s="2" t="str">
        <f>IF('AC (Chi phí thực tế)'!Z13=0,"",ROUND('EV (Hoàn thành thực tế)'!Z13/'AC (Chi phí thực tế)'!Z13,2))</f>
        <v/>
      </c>
      <c r="AA13" s="2" t="str">
        <f>IF('AC (Chi phí thực tế)'!AA13=0,"",ROUND('EV (Hoàn thành thực tế)'!AA13/'AC (Chi phí thực tế)'!AA13,2))</f>
        <v/>
      </c>
    </row>
    <row r="14" spans="2:27" ht="21.95" customHeight="1">
      <c r="B14" s="2">
        <v>12</v>
      </c>
      <c r="C14" s="3" t="str">
        <f>'PV (Kế hoạch)'!C14</f>
        <v>Phát triển Frontend - Module Payment</v>
      </c>
      <c r="D14" s="2" t="str">
        <f>IF('AC (Chi phí thực tế)'!D14=0,"",ROUND('EV (Hoàn thành thực tế)'!D14/'AC (Chi phí thực tế)'!D14,2))</f>
        <v/>
      </c>
      <c r="E14" s="2" t="str">
        <f>IF('AC (Chi phí thực tế)'!E14=0,"",ROUND('EV (Hoàn thành thực tế)'!E14/'AC (Chi phí thực tế)'!E14,2))</f>
        <v/>
      </c>
      <c r="F14" s="2" t="str">
        <f>IF('AC (Chi phí thực tế)'!F14=0,"",ROUND('EV (Hoàn thành thực tế)'!F14/'AC (Chi phí thực tế)'!F14,2))</f>
        <v/>
      </c>
      <c r="G14" s="2" t="str">
        <f>IF('AC (Chi phí thực tế)'!G14=0,"",ROUND('EV (Hoàn thành thực tế)'!G14/'AC (Chi phí thực tế)'!G14,2))</f>
        <v/>
      </c>
      <c r="H14" s="2" t="str">
        <f>IF('AC (Chi phí thực tế)'!H14=0,"",ROUND('EV (Hoàn thành thực tế)'!H14/'AC (Chi phí thực tế)'!H14,2))</f>
        <v/>
      </c>
      <c r="I14" s="2" t="str">
        <f>IF('AC (Chi phí thực tế)'!I14=0,"",ROUND('EV (Hoàn thành thực tế)'!I14/'AC (Chi phí thực tế)'!I14,2))</f>
        <v/>
      </c>
      <c r="J14" s="2" t="str">
        <f>IF('AC (Chi phí thực tế)'!J14=0,"",ROUND('EV (Hoàn thành thực tế)'!J14/'AC (Chi phí thực tế)'!J14,2))</f>
        <v/>
      </c>
      <c r="K14" s="2" t="str">
        <f>IF('AC (Chi phí thực tế)'!K14=0,"",ROUND('EV (Hoàn thành thực tế)'!K14/'AC (Chi phí thực tế)'!K14,2))</f>
        <v/>
      </c>
      <c r="L14" s="2" t="str">
        <f>IF('AC (Chi phí thực tế)'!L14=0,"",ROUND('EV (Hoàn thành thực tế)'!L14/'AC (Chi phí thực tế)'!L14,2))</f>
        <v/>
      </c>
      <c r="M14" s="2" t="str">
        <f>IF('AC (Chi phí thực tế)'!M14=0,"",ROUND('EV (Hoàn thành thực tế)'!M14/'AC (Chi phí thực tế)'!M14,2))</f>
        <v/>
      </c>
      <c r="N14" s="2" t="str">
        <f>IF('AC (Chi phí thực tế)'!N14=0,"",ROUND('EV (Hoàn thành thực tế)'!N14/'AC (Chi phí thực tế)'!N14,2))</f>
        <v/>
      </c>
      <c r="O14" s="2" t="str">
        <f>IF('AC (Chi phí thực tế)'!O14=0,"",ROUND('EV (Hoàn thành thực tế)'!O14/'AC (Chi phí thực tế)'!O14,2))</f>
        <v/>
      </c>
      <c r="P14" s="2">
        <f>IF('AC (Chi phí thực tế)'!P14=0,"",ROUND('EV (Hoàn thành thực tế)'!P14/'AC (Chi phí thực tế)'!P14,2))</f>
        <v>1.02</v>
      </c>
      <c r="Q14" s="2">
        <f>IF('AC (Chi phí thực tế)'!Q14=0,"",ROUND('EV (Hoàn thành thực tế)'!Q14/'AC (Chi phí thực tế)'!Q14,2))</f>
        <v>0.98</v>
      </c>
      <c r="R14" s="2">
        <f>IF('AC (Chi phí thực tế)'!R14=0,"",ROUND('EV (Hoàn thành thực tế)'!R14/'AC (Chi phí thực tế)'!R14,2))</f>
        <v>0.84</v>
      </c>
      <c r="S14" s="2">
        <f>IF('AC (Chi phí thực tế)'!S14=0,"",ROUND('EV (Hoàn thành thực tế)'!S14/'AC (Chi phí thực tế)'!S14,2))</f>
        <v>0</v>
      </c>
      <c r="T14" s="2" t="str">
        <f>IF('AC (Chi phí thực tế)'!T14=0,"",ROUND('EV (Hoàn thành thực tế)'!T14/'AC (Chi phí thực tế)'!T14,2))</f>
        <v/>
      </c>
      <c r="U14" s="2" t="str">
        <f>IF('AC (Chi phí thực tế)'!U14=0,"",ROUND('EV (Hoàn thành thực tế)'!U14/'AC (Chi phí thực tế)'!U14,2))</f>
        <v/>
      </c>
      <c r="V14" s="2" t="str">
        <f>IF('AC (Chi phí thực tế)'!V14=0,"",ROUND('EV (Hoàn thành thực tế)'!V14/'AC (Chi phí thực tế)'!V14,2))</f>
        <v/>
      </c>
      <c r="W14" s="2" t="str">
        <f>IF('AC (Chi phí thực tế)'!W14=0,"",ROUND('EV (Hoàn thành thực tế)'!W14/'AC (Chi phí thực tế)'!W14,2))</f>
        <v/>
      </c>
      <c r="X14" s="2" t="str">
        <f>IF('AC (Chi phí thực tế)'!X14=0,"",ROUND('EV (Hoàn thành thực tế)'!X14/'AC (Chi phí thực tế)'!X14,2))</f>
        <v/>
      </c>
      <c r="Y14" s="2" t="str">
        <f>IF('AC (Chi phí thực tế)'!Y14=0,"",ROUND('EV (Hoàn thành thực tế)'!Y14/'AC (Chi phí thực tế)'!Y14,2))</f>
        <v/>
      </c>
      <c r="Z14" s="2" t="str">
        <f>IF('AC (Chi phí thực tế)'!Z14=0,"",ROUND('EV (Hoàn thành thực tế)'!Z14/'AC (Chi phí thực tế)'!Z14,2))</f>
        <v/>
      </c>
      <c r="AA14" s="2" t="str">
        <f>IF('AC (Chi phí thực tế)'!AA14=0,"",ROUND('EV (Hoàn thành thực tế)'!AA14/'AC (Chi phí thực tế)'!AA14,2))</f>
        <v/>
      </c>
    </row>
    <row r="15" spans="2:27" ht="21.95" customHeight="1">
      <c r="B15" s="2">
        <v>13</v>
      </c>
      <c r="C15" s="3" t="str">
        <f>'PV (Kế hoạch)'!C15</f>
        <v>Phát triển Frontend - Module Report</v>
      </c>
      <c r="D15" s="2" t="str">
        <f>IF('AC (Chi phí thực tế)'!D15=0,"",ROUND('EV (Hoàn thành thực tế)'!D15/'AC (Chi phí thực tế)'!D15,2))</f>
        <v/>
      </c>
      <c r="E15" s="2" t="str">
        <f>IF('AC (Chi phí thực tế)'!E15=0,"",ROUND('EV (Hoàn thành thực tế)'!E15/'AC (Chi phí thực tế)'!E15,2))</f>
        <v/>
      </c>
      <c r="F15" s="2" t="str">
        <f>IF('AC (Chi phí thực tế)'!F15=0,"",ROUND('EV (Hoàn thành thực tế)'!F15/'AC (Chi phí thực tế)'!F15,2))</f>
        <v/>
      </c>
      <c r="G15" s="2" t="str">
        <f>IF('AC (Chi phí thực tế)'!G15=0,"",ROUND('EV (Hoàn thành thực tế)'!G15/'AC (Chi phí thực tế)'!G15,2))</f>
        <v/>
      </c>
      <c r="H15" s="2" t="str">
        <f>IF('AC (Chi phí thực tế)'!H15=0,"",ROUND('EV (Hoàn thành thực tế)'!H15/'AC (Chi phí thực tế)'!H15,2))</f>
        <v/>
      </c>
      <c r="I15" s="2" t="str">
        <f>IF('AC (Chi phí thực tế)'!I15=0,"",ROUND('EV (Hoàn thành thực tế)'!I15/'AC (Chi phí thực tế)'!I15,2))</f>
        <v/>
      </c>
      <c r="J15" s="2" t="str">
        <f>IF('AC (Chi phí thực tế)'!J15=0,"",ROUND('EV (Hoàn thành thực tế)'!J15/'AC (Chi phí thực tế)'!J15,2))</f>
        <v/>
      </c>
      <c r="K15" s="2" t="str">
        <f>IF('AC (Chi phí thực tế)'!K15=0,"",ROUND('EV (Hoàn thành thực tế)'!K15/'AC (Chi phí thực tế)'!K15,2))</f>
        <v/>
      </c>
      <c r="L15" s="2" t="str">
        <f>IF('AC (Chi phí thực tế)'!L15=0,"",ROUND('EV (Hoàn thành thực tế)'!L15/'AC (Chi phí thực tế)'!L15,2))</f>
        <v/>
      </c>
      <c r="M15" s="2" t="str">
        <f>IF('AC (Chi phí thực tế)'!M15=0,"",ROUND('EV (Hoàn thành thực tế)'!M15/'AC (Chi phí thực tế)'!M15,2))</f>
        <v/>
      </c>
      <c r="N15" s="2" t="str">
        <f>IF('AC (Chi phí thực tế)'!N15=0,"",ROUND('EV (Hoàn thành thực tế)'!N15/'AC (Chi phí thực tế)'!N15,2))</f>
        <v/>
      </c>
      <c r="O15" s="2" t="str">
        <f>IF('AC (Chi phí thực tế)'!O15=0,"",ROUND('EV (Hoàn thành thực tế)'!O15/'AC (Chi phí thực tế)'!O15,2))</f>
        <v/>
      </c>
      <c r="P15" s="2" t="str">
        <f>IF('AC (Chi phí thực tế)'!P15=0,"",ROUND('EV (Hoàn thành thực tế)'!P15/'AC (Chi phí thực tế)'!P15,2))</f>
        <v/>
      </c>
      <c r="Q15" s="2" t="str">
        <f>IF('AC (Chi phí thực tế)'!Q15=0,"",ROUND('EV (Hoàn thành thực tế)'!Q15/'AC (Chi phí thực tế)'!Q15,2))</f>
        <v/>
      </c>
      <c r="R15" s="2">
        <f>IF('AC (Chi phí thực tế)'!R15=0,"",ROUND('EV (Hoàn thành thực tế)'!R15/'AC (Chi phí thực tế)'!R15,2))</f>
        <v>1</v>
      </c>
      <c r="S15" s="2">
        <f>IF('AC (Chi phí thực tế)'!S15=0,"",ROUND('EV (Hoàn thành thực tế)'!S15/'AC (Chi phí thực tế)'!S15,2))</f>
        <v>1</v>
      </c>
      <c r="T15" s="2">
        <f>IF('AC (Chi phí thực tế)'!T15=0,"",ROUND('EV (Hoàn thành thực tế)'!T15/'AC (Chi phí thực tế)'!T15,2))</f>
        <v>0.75</v>
      </c>
      <c r="U15" s="2" t="str">
        <f>IF('AC (Chi phí thực tế)'!U15=0,"",ROUND('EV (Hoàn thành thực tế)'!U15/'AC (Chi phí thực tế)'!U15,2))</f>
        <v/>
      </c>
      <c r="V15" s="2" t="str">
        <f>IF('AC (Chi phí thực tế)'!V15=0,"",ROUND('EV (Hoàn thành thực tế)'!V15/'AC (Chi phí thực tế)'!V15,2))</f>
        <v/>
      </c>
      <c r="W15" s="2" t="str">
        <f>IF('AC (Chi phí thực tế)'!W15=0,"",ROUND('EV (Hoàn thành thực tế)'!W15/'AC (Chi phí thực tế)'!W15,2))</f>
        <v/>
      </c>
      <c r="X15" s="2" t="str">
        <f>IF('AC (Chi phí thực tế)'!X15=0,"",ROUND('EV (Hoàn thành thực tế)'!X15/'AC (Chi phí thực tế)'!X15,2))</f>
        <v/>
      </c>
      <c r="Y15" s="2" t="str">
        <f>IF('AC (Chi phí thực tế)'!Y15=0,"",ROUND('EV (Hoàn thành thực tế)'!Y15/'AC (Chi phí thực tế)'!Y15,2))</f>
        <v/>
      </c>
      <c r="Z15" s="2" t="str">
        <f>IF('AC (Chi phí thực tế)'!Z15=0,"",ROUND('EV (Hoàn thành thực tế)'!Z15/'AC (Chi phí thực tế)'!Z15,2))</f>
        <v/>
      </c>
      <c r="AA15" s="2" t="str">
        <f>IF('AC (Chi phí thực tế)'!AA15=0,"",ROUND('EV (Hoàn thành thực tế)'!AA15/'AC (Chi phí thực tế)'!AA15,2))</f>
        <v/>
      </c>
    </row>
    <row r="16" spans="2:27" ht="21.95" customHeight="1">
      <c r="B16" s="2">
        <v>14</v>
      </c>
      <c r="C16" s="3" t="str">
        <f>'PV (Kế hoạch)'!C16</f>
        <v>Tích hợp API bên thứ 3</v>
      </c>
      <c r="D16" s="2" t="str">
        <f>IF('AC (Chi phí thực tế)'!D16=0,"",ROUND('EV (Hoàn thành thực tế)'!D16/'AC (Chi phí thực tế)'!D16,2))</f>
        <v/>
      </c>
      <c r="E16" s="2" t="str">
        <f>IF('AC (Chi phí thực tế)'!E16=0,"",ROUND('EV (Hoàn thành thực tế)'!E16/'AC (Chi phí thực tế)'!E16,2))</f>
        <v/>
      </c>
      <c r="F16" s="2" t="str">
        <f>IF('AC (Chi phí thực tế)'!F16=0,"",ROUND('EV (Hoàn thành thực tế)'!F16/'AC (Chi phí thực tế)'!F16,2))</f>
        <v/>
      </c>
      <c r="G16" s="2" t="str">
        <f>IF('AC (Chi phí thực tế)'!G16=0,"",ROUND('EV (Hoàn thành thực tế)'!G16/'AC (Chi phí thực tế)'!G16,2))</f>
        <v/>
      </c>
      <c r="H16" s="2" t="str">
        <f>IF('AC (Chi phí thực tế)'!H16=0,"",ROUND('EV (Hoàn thành thực tế)'!H16/'AC (Chi phí thực tế)'!H16,2))</f>
        <v/>
      </c>
      <c r="I16" s="2" t="str">
        <f>IF('AC (Chi phí thực tế)'!I16=0,"",ROUND('EV (Hoàn thành thực tế)'!I16/'AC (Chi phí thực tế)'!I16,2))</f>
        <v/>
      </c>
      <c r="J16" s="2" t="str">
        <f>IF('AC (Chi phí thực tế)'!J16=0,"",ROUND('EV (Hoàn thành thực tế)'!J16/'AC (Chi phí thực tế)'!J16,2))</f>
        <v/>
      </c>
      <c r="K16" s="2" t="str">
        <f>IF('AC (Chi phí thực tế)'!K16=0,"",ROUND('EV (Hoàn thành thực tế)'!K16/'AC (Chi phí thực tế)'!K16,2))</f>
        <v/>
      </c>
      <c r="L16" s="2" t="str">
        <f>IF('AC (Chi phí thực tế)'!L16=0,"",ROUND('EV (Hoàn thành thực tế)'!L16/'AC (Chi phí thực tế)'!L16,2))</f>
        <v/>
      </c>
      <c r="M16" s="2" t="str">
        <f>IF('AC (Chi phí thực tế)'!M16=0,"",ROUND('EV (Hoàn thành thực tế)'!M16/'AC (Chi phí thực tế)'!M16,2))</f>
        <v/>
      </c>
      <c r="N16" s="2" t="str">
        <f>IF('AC (Chi phí thực tế)'!N16=0,"",ROUND('EV (Hoàn thành thực tế)'!N16/'AC (Chi phí thực tế)'!N16,2))</f>
        <v/>
      </c>
      <c r="O16" s="2" t="str">
        <f>IF('AC (Chi phí thực tế)'!O16=0,"",ROUND('EV (Hoàn thành thực tế)'!O16/'AC (Chi phí thực tế)'!O16,2))</f>
        <v/>
      </c>
      <c r="P16" s="2" t="str">
        <f>IF('AC (Chi phí thực tế)'!P16=0,"",ROUND('EV (Hoàn thành thực tế)'!P16/'AC (Chi phí thực tế)'!P16,2))</f>
        <v/>
      </c>
      <c r="Q16" s="2" t="str">
        <f>IF('AC (Chi phí thực tế)'!Q16=0,"",ROUND('EV (Hoàn thành thực tế)'!Q16/'AC (Chi phí thực tế)'!Q16,2))</f>
        <v/>
      </c>
      <c r="R16" s="2" t="str">
        <f>IF('AC (Chi phí thực tế)'!R16=0,"",ROUND('EV (Hoàn thành thực tế)'!R16/'AC (Chi phí thực tế)'!R16,2))</f>
        <v/>
      </c>
      <c r="S16" s="2" t="str">
        <f>IF('AC (Chi phí thực tế)'!S16=0,"",ROUND('EV (Hoàn thành thực tế)'!S16/'AC (Chi phí thực tế)'!S16,2))</f>
        <v/>
      </c>
      <c r="T16" s="2" t="str">
        <f>IF('AC (Chi phí thực tế)'!T16=0,"",ROUND('EV (Hoàn thành thực tế)'!T16/'AC (Chi phí thực tế)'!T16,2))</f>
        <v/>
      </c>
      <c r="U16" s="2" t="str">
        <f>IF('AC (Chi phí thực tế)'!U16=0,"",ROUND('EV (Hoàn thành thực tế)'!U16/'AC (Chi phí thực tế)'!U16,2))</f>
        <v/>
      </c>
      <c r="V16" s="2" t="str">
        <f>IF('AC (Chi phí thực tế)'!V16=0,"",ROUND('EV (Hoàn thành thực tế)'!V16/'AC (Chi phí thực tế)'!V16,2))</f>
        <v/>
      </c>
      <c r="W16" s="2" t="str">
        <f>IF('AC (Chi phí thực tế)'!W16=0,"",ROUND('EV (Hoàn thành thực tế)'!W16/'AC (Chi phí thực tế)'!W16,2))</f>
        <v/>
      </c>
      <c r="X16" s="2" t="str">
        <f>IF('AC (Chi phí thực tế)'!X16=0,"",ROUND('EV (Hoàn thành thực tế)'!X16/'AC (Chi phí thực tế)'!X16,2))</f>
        <v/>
      </c>
      <c r="Y16" s="2" t="str">
        <f>IF('AC (Chi phí thực tế)'!Y16=0,"",ROUND('EV (Hoàn thành thực tế)'!Y16/'AC (Chi phí thực tế)'!Y16,2))</f>
        <v/>
      </c>
      <c r="Z16" s="2" t="str">
        <f>IF('AC (Chi phí thực tế)'!Z16=0,"",ROUND('EV (Hoàn thành thực tế)'!Z16/'AC (Chi phí thực tế)'!Z16,2))</f>
        <v/>
      </c>
      <c r="AA16" s="2" t="str">
        <f>IF('AC (Chi phí thực tế)'!AA16=0,"",ROUND('EV (Hoàn thành thực tế)'!AA16/'AC (Chi phí thực tế)'!AA16,2))</f>
        <v/>
      </c>
    </row>
    <row r="17" spans="2:27" ht="21.95" customHeight="1">
      <c r="B17" s="2">
        <v>15</v>
      </c>
      <c r="C17" s="3" t="str">
        <f>'PV (Kế hoạch)'!C17</f>
        <v>Unit Testing</v>
      </c>
      <c r="D17" s="2" t="str">
        <f>IF('AC (Chi phí thực tế)'!D17=0,"",ROUND('EV (Hoàn thành thực tế)'!D17/'AC (Chi phí thực tế)'!D17,2))</f>
        <v/>
      </c>
      <c r="E17" s="2" t="str">
        <f>IF('AC (Chi phí thực tế)'!E17=0,"",ROUND('EV (Hoàn thành thực tế)'!E17/'AC (Chi phí thực tế)'!E17,2))</f>
        <v/>
      </c>
      <c r="F17" s="2" t="str">
        <f>IF('AC (Chi phí thực tế)'!F17=0,"",ROUND('EV (Hoàn thành thực tế)'!F17/'AC (Chi phí thực tế)'!F17,2))</f>
        <v/>
      </c>
      <c r="G17" s="2" t="str">
        <f>IF('AC (Chi phí thực tế)'!G17=0,"",ROUND('EV (Hoàn thành thực tế)'!G17/'AC (Chi phí thực tế)'!G17,2))</f>
        <v/>
      </c>
      <c r="H17" s="2" t="str">
        <f>IF('AC (Chi phí thực tế)'!H17=0,"",ROUND('EV (Hoàn thành thực tế)'!H17/'AC (Chi phí thực tế)'!H17,2))</f>
        <v/>
      </c>
      <c r="I17" s="2" t="str">
        <f>IF('AC (Chi phí thực tế)'!I17=0,"",ROUND('EV (Hoàn thành thực tế)'!I17/'AC (Chi phí thực tế)'!I17,2))</f>
        <v/>
      </c>
      <c r="J17" s="2" t="str">
        <f>IF('AC (Chi phí thực tế)'!J17=0,"",ROUND('EV (Hoàn thành thực tế)'!J17/'AC (Chi phí thực tế)'!J17,2))</f>
        <v/>
      </c>
      <c r="K17" s="2" t="str">
        <f>IF('AC (Chi phí thực tế)'!K17=0,"",ROUND('EV (Hoàn thành thực tế)'!K17/'AC (Chi phí thực tế)'!K17,2))</f>
        <v/>
      </c>
      <c r="L17" s="2" t="str">
        <f>IF('AC (Chi phí thực tế)'!L17=0,"",ROUND('EV (Hoàn thành thực tế)'!L17/'AC (Chi phí thực tế)'!L17,2))</f>
        <v/>
      </c>
      <c r="M17" s="2" t="str">
        <f>IF('AC (Chi phí thực tế)'!M17=0,"",ROUND('EV (Hoàn thành thực tế)'!M17/'AC (Chi phí thực tế)'!M17,2))</f>
        <v/>
      </c>
      <c r="N17" s="2" t="str">
        <f>IF('AC (Chi phí thực tế)'!N17=0,"",ROUND('EV (Hoàn thành thực tế)'!N17/'AC (Chi phí thực tế)'!N17,2))</f>
        <v/>
      </c>
      <c r="O17" s="2" t="str">
        <f>IF('AC (Chi phí thực tế)'!O17=0,"",ROUND('EV (Hoàn thành thực tế)'!O17/'AC (Chi phí thực tế)'!O17,2))</f>
        <v/>
      </c>
      <c r="P17" s="2" t="str">
        <f>IF('AC (Chi phí thực tế)'!P17=0,"",ROUND('EV (Hoàn thành thực tế)'!P17/'AC (Chi phí thực tế)'!P17,2))</f>
        <v/>
      </c>
      <c r="Q17" s="2" t="str">
        <f>IF('AC (Chi phí thực tế)'!Q17=0,"",ROUND('EV (Hoàn thành thực tế)'!Q17/'AC (Chi phí thực tế)'!Q17,2))</f>
        <v/>
      </c>
      <c r="R17" s="2" t="str">
        <f>IF('AC (Chi phí thực tế)'!R17=0,"",ROUND('EV (Hoàn thành thực tế)'!R17/'AC (Chi phí thực tế)'!R17,2))</f>
        <v/>
      </c>
      <c r="S17" s="2" t="str">
        <f>IF('AC (Chi phí thực tế)'!S17=0,"",ROUND('EV (Hoàn thành thực tế)'!S17/'AC (Chi phí thực tế)'!S17,2))</f>
        <v/>
      </c>
      <c r="T17" s="2" t="str">
        <f>IF('AC (Chi phí thực tế)'!T17=0,"",ROUND('EV (Hoàn thành thực tế)'!T17/'AC (Chi phí thực tế)'!T17,2))</f>
        <v/>
      </c>
      <c r="U17" s="2" t="str">
        <f>IF('AC (Chi phí thực tế)'!U17=0,"",ROUND('EV (Hoàn thành thực tế)'!U17/'AC (Chi phí thực tế)'!U17,2))</f>
        <v/>
      </c>
      <c r="V17" s="2" t="str">
        <f>IF('AC (Chi phí thực tế)'!V17=0,"",ROUND('EV (Hoàn thành thực tế)'!V17/'AC (Chi phí thực tế)'!V17,2))</f>
        <v/>
      </c>
      <c r="W17" s="2" t="str">
        <f>IF('AC (Chi phí thực tế)'!W17=0,"",ROUND('EV (Hoàn thành thực tế)'!W17/'AC (Chi phí thực tế)'!W17,2))</f>
        <v/>
      </c>
      <c r="X17" s="2" t="str">
        <f>IF('AC (Chi phí thực tế)'!X17=0,"",ROUND('EV (Hoàn thành thực tế)'!X17/'AC (Chi phí thực tế)'!X17,2))</f>
        <v/>
      </c>
      <c r="Y17" s="2" t="str">
        <f>IF('AC (Chi phí thực tế)'!Y17=0,"",ROUND('EV (Hoàn thành thực tế)'!Y17/'AC (Chi phí thực tế)'!Y17,2))</f>
        <v/>
      </c>
      <c r="Z17" s="2" t="str">
        <f>IF('AC (Chi phí thực tế)'!Z17=0,"",ROUND('EV (Hoàn thành thực tế)'!Z17/'AC (Chi phí thực tế)'!Z17,2))</f>
        <v/>
      </c>
      <c r="AA17" s="2" t="str">
        <f>IF('AC (Chi phí thực tế)'!AA17=0,"",ROUND('EV (Hoàn thành thực tế)'!AA17/'AC (Chi phí thực tế)'!AA17,2))</f>
        <v/>
      </c>
    </row>
    <row r="18" spans="2:27" ht="21.95" customHeight="1">
      <c r="B18" s="2">
        <v>16</v>
      </c>
      <c r="C18" s="3" t="str">
        <f>'PV (Kế hoạch)'!C18</f>
        <v>Integration Testing</v>
      </c>
      <c r="D18" s="2" t="str">
        <f>IF('AC (Chi phí thực tế)'!D18=0,"",ROUND('EV (Hoàn thành thực tế)'!D18/'AC (Chi phí thực tế)'!D18,2))</f>
        <v/>
      </c>
      <c r="E18" s="2" t="str">
        <f>IF('AC (Chi phí thực tế)'!E18=0,"",ROUND('EV (Hoàn thành thực tế)'!E18/'AC (Chi phí thực tế)'!E18,2))</f>
        <v/>
      </c>
      <c r="F18" s="2" t="str">
        <f>IF('AC (Chi phí thực tế)'!F18=0,"",ROUND('EV (Hoàn thành thực tế)'!F18/'AC (Chi phí thực tế)'!F18,2))</f>
        <v/>
      </c>
      <c r="G18" s="2" t="str">
        <f>IF('AC (Chi phí thực tế)'!G18=0,"",ROUND('EV (Hoàn thành thực tế)'!G18/'AC (Chi phí thực tế)'!G18,2))</f>
        <v/>
      </c>
      <c r="H18" s="2" t="str">
        <f>IF('AC (Chi phí thực tế)'!H18=0,"",ROUND('EV (Hoàn thành thực tế)'!H18/'AC (Chi phí thực tế)'!H18,2))</f>
        <v/>
      </c>
      <c r="I18" s="2" t="str">
        <f>IF('AC (Chi phí thực tế)'!I18=0,"",ROUND('EV (Hoàn thành thực tế)'!I18/'AC (Chi phí thực tế)'!I18,2))</f>
        <v/>
      </c>
      <c r="J18" s="2" t="str">
        <f>IF('AC (Chi phí thực tế)'!J18=0,"",ROUND('EV (Hoàn thành thực tế)'!J18/'AC (Chi phí thực tế)'!J18,2))</f>
        <v/>
      </c>
      <c r="K18" s="2" t="str">
        <f>IF('AC (Chi phí thực tế)'!K18=0,"",ROUND('EV (Hoàn thành thực tế)'!K18/'AC (Chi phí thực tế)'!K18,2))</f>
        <v/>
      </c>
      <c r="L18" s="2" t="str">
        <f>IF('AC (Chi phí thực tế)'!L18=0,"",ROUND('EV (Hoàn thành thực tế)'!L18/'AC (Chi phí thực tế)'!L18,2))</f>
        <v/>
      </c>
      <c r="M18" s="2" t="str">
        <f>IF('AC (Chi phí thực tế)'!M18=0,"",ROUND('EV (Hoàn thành thực tế)'!M18/'AC (Chi phí thực tế)'!M18,2))</f>
        <v/>
      </c>
      <c r="N18" s="2" t="str">
        <f>IF('AC (Chi phí thực tế)'!N18=0,"",ROUND('EV (Hoàn thành thực tế)'!N18/'AC (Chi phí thực tế)'!N18,2))</f>
        <v/>
      </c>
      <c r="O18" s="2" t="str">
        <f>IF('AC (Chi phí thực tế)'!O18=0,"",ROUND('EV (Hoàn thành thực tế)'!O18/'AC (Chi phí thực tế)'!O18,2))</f>
        <v/>
      </c>
      <c r="P18" s="2" t="str">
        <f>IF('AC (Chi phí thực tế)'!P18=0,"",ROUND('EV (Hoàn thành thực tế)'!P18/'AC (Chi phí thực tế)'!P18,2))</f>
        <v/>
      </c>
      <c r="Q18" s="2" t="str">
        <f>IF('AC (Chi phí thực tế)'!Q18=0,"",ROUND('EV (Hoàn thành thực tế)'!Q18/'AC (Chi phí thực tế)'!Q18,2))</f>
        <v/>
      </c>
      <c r="R18" s="2" t="str">
        <f>IF('AC (Chi phí thực tế)'!R18=0,"",ROUND('EV (Hoàn thành thực tế)'!R18/'AC (Chi phí thực tế)'!R18,2))</f>
        <v/>
      </c>
      <c r="S18" s="2" t="str">
        <f>IF('AC (Chi phí thực tế)'!S18=0,"",ROUND('EV (Hoàn thành thực tế)'!S18/'AC (Chi phí thực tế)'!S18,2))</f>
        <v/>
      </c>
      <c r="T18" s="2" t="str">
        <f>IF('AC (Chi phí thực tế)'!T18=0,"",ROUND('EV (Hoàn thành thực tế)'!T18/'AC (Chi phí thực tế)'!T18,2))</f>
        <v/>
      </c>
      <c r="U18" s="2" t="str">
        <f>IF('AC (Chi phí thực tế)'!U18=0,"",ROUND('EV (Hoàn thành thực tế)'!U18/'AC (Chi phí thực tế)'!U18,2))</f>
        <v/>
      </c>
      <c r="V18" s="2" t="str">
        <f>IF('AC (Chi phí thực tế)'!V18=0,"",ROUND('EV (Hoàn thành thực tế)'!V18/'AC (Chi phí thực tế)'!V18,2))</f>
        <v/>
      </c>
      <c r="W18" s="2" t="str">
        <f>IF('AC (Chi phí thực tế)'!W18=0,"",ROUND('EV (Hoàn thành thực tế)'!W18/'AC (Chi phí thực tế)'!W18,2))</f>
        <v/>
      </c>
      <c r="X18" s="2" t="str">
        <f>IF('AC (Chi phí thực tế)'!X18=0,"",ROUND('EV (Hoàn thành thực tế)'!X18/'AC (Chi phí thực tế)'!X18,2))</f>
        <v/>
      </c>
      <c r="Y18" s="2" t="str">
        <f>IF('AC (Chi phí thực tế)'!Y18=0,"",ROUND('EV (Hoàn thành thực tế)'!Y18/'AC (Chi phí thực tế)'!Y18,2))</f>
        <v/>
      </c>
      <c r="Z18" s="2" t="str">
        <f>IF('AC (Chi phí thực tế)'!Z18=0,"",ROUND('EV (Hoàn thành thực tế)'!Z18/'AC (Chi phí thực tế)'!Z18,2))</f>
        <v/>
      </c>
      <c r="AA18" s="2" t="str">
        <f>IF('AC (Chi phí thực tế)'!AA18=0,"",ROUND('EV (Hoàn thành thực tế)'!AA18/'AC (Chi phí thực tế)'!AA18,2))</f>
        <v/>
      </c>
    </row>
    <row r="19" spans="2:27" ht="21.95" customHeight="1">
      <c r="B19" s="2">
        <v>17</v>
      </c>
      <c r="C19" s="3" t="str">
        <f>'PV (Kế hoạch)'!C19</f>
        <v>System Testing</v>
      </c>
      <c r="D19" s="2" t="str">
        <f>IF('AC (Chi phí thực tế)'!D19=0,"",ROUND('EV (Hoàn thành thực tế)'!D19/'AC (Chi phí thực tế)'!D19,2))</f>
        <v/>
      </c>
      <c r="E19" s="2" t="str">
        <f>IF('AC (Chi phí thực tế)'!E19=0,"",ROUND('EV (Hoàn thành thực tế)'!E19/'AC (Chi phí thực tế)'!E19,2))</f>
        <v/>
      </c>
      <c r="F19" s="2" t="str">
        <f>IF('AC (Chi phí thực tế)'!F19=0,"",ROUND('EV (Hoàn thành thực tế)'!F19/'AC (Chi phí thực tế)'!F19,2))</f>
        <v/>
      </c>
      <c r="G19" s="2" t="str">
        <f>IF('AC (Chi phí thực tế)'!G19=0,"",ROUND('EV (Hoàn thành thực tế)'!G19/'AC (Chi phí thực tế)'!G19,2))</f>
        <v/>
      </c>
      <c r="H19" s="2" t="str">
        <f>IF('AC (Chi phí thực tế)'!H19=0,"",ROUND('EV (Hoàn thành thực tế)'!H19/'AC (Chi phí thực tế)'!H19,2))</f>
        <v/>
      </c>
      <c r="I19" s="2" t="str">
        <f>IF('AC (Chi phí thực tế)'!I19=0,"",ROUND('EV (Hoàn thành thực tế)'!I19/'AC (Chi phí thực tế)'!I19,2))</f>
        <v/>
      </c>
      <c r="J19" s="2" t="str">
        <f>IF('AC (Chi phí thực tế)'!J19=0,"",ROUND('EV (Hoàn thành thực tế)'!J19/'AC (Chi phí thực tế)'!J19,2))</f>
        <v/>
      </c>
      <c r="K19" s="2" t="str">
        <f>IF('AC (Chi phí thực tế)'!K19=0,"",ROUND('EV (Hoàn thành thực tế)'!K19/'AC (Chi phí thực tế)'!K19,2))</f>
        <v/>
      </c>
      <c r="L19" s="2" t="str">
        <f>IF('AC (Chi phí thực tế)'!L19=0,"",ROUND('EV (Hoàn thành thực tế)'!L19/'AC (Chi phí thực tế)'!L19,2))</f>
        <v/>
      </c>
      <c r="M19" s="2" t="str">
        <f>IF('AC (Chi phí thực tế)'!M19=0,"",ROUND('EV (Hoàn thành thực tế)'!M19/'AC (Chi phí thực tế)'!M19,2))</f>
        <v/>
      </c>
      <c r="N19" s="2" t="str">
        <f>IF('AC (Chi phí thực tế)'!N19=0,"",ROUND('EV (Hoàn thành thực tế)'!N19/'AC (Chi phí thực tế)'!N19,2))</f>
        <v/>
      </c>
      <c r="O19" s="2" t="str">
        <f>IF('AC (Chi phí thực tế)'!O19=0,"",ROUND('EV (Hoàn thành thực tế)'!O19/'AC (Chi phí thực tế)'!O19,2))</f>
        <v/>
      </c>
      <c r="P19" s="2" t="str">
        <f>IF('AC (Chi phí thực tế)'!P19=0,"",ROUND('EV (Hoàn thành thực tế)'!P19/'AC (Chi phí thực tế)'!P19,2))</f>
        <v/>
      </c>
      <c r="Q19" s="2" t="str">
        <f>IF('AC (Chi phí thực tế)'!Q19=0,"",ROUND('EV (Hoàn thành thực tế)'!Q19/'AC (Chi phí thực tế)'!Q19,2))</f>
        <v/>
      </c>
      <c r="R19" s="2" t="str">
        <f>IF('AC (Chi phí thực tế)'!R19=0,"",ROUND('EV (Hoàn thành thực tế)'!R19/'AC (Chi phí thực tế)'!R19,2))</f>
        <v/>
      </c>
      <c r="S19" s="2" t="str">
        <f>IF('AC (Chi phí thực tế)'!S19=0,"",ROUND('EV (Hoàn thành thực tế)'!S19/'AC (Chi phí thực tế)'!S19,2))</f>
        <v/>
      </c>
      <c r="T19" s="2" t="str">
        <f>IF('AC (Chi phí thực tế)'!T19=0,"",ROUND('EV (Hoàn thành thực tế)'!T19/'AC (Chi phí thực tế)'!T19,2))</f>
        <v/>
      </c>
      <c r="U19" s="2" t="str">
        <f>IF('AC (Chi phí thực tế)'!U19=0,"",ROUND('EV (Hoàn thành thực tế)'!U19/'AC (Chi phí thực tế)'!U19,2))</f>
        <v/>
      </c>
      <c r="V19" s="2" t="str">
        <f>IF('AC (Chi phí thực tế)'!V19=0,"",ROUND('EV (Hoàn thành thực tế)'!V19/'AC (Chi phí thực tế)'!V19,2))</f>
        <v/>
      </c>
      <c r="W19" s="2" t="str">
        <f>IF('AC (Chi phí thực tế)'!W19=0,"",ROUND('EV (Hoàn thành thực tế)'!W19/'AC (Chi phí thực tế)'!W19,2))</f>
        <v/>
      </c>
      <c r="X19" s="2" t="str">
        <f>IF('AC (Chi phí thực tế)'!X19=0,"",ROUND('EV (Hoàn thành thực tế)'!X19/'AC (Chi phí thực tế)'!X19,2))</f>
        <v/>
      </c>
      <c r="Y19" s="2" t="str">
        <f>IF('AC (Chi phí thực tế)'!Y19=0,"",ROUND('EV (Hoàn thành thực tế)'!Y19/'AC (Chi phí thực tế)'!Y19,2))</f>
        <v/>
      </c>
      <c r="Z19" s="2" t="str">
        <f>IF('AC (Chi phí thực tế)'!Z19=0,"",ROUND('EV (Hoàn thành thực tế)'!Z19/'AC (Chi phí thực tế)'!Z19,2))</f>
        <v/>
      </c>
      <c r="AA19" s="2" t="str">
        <f>IF('AC (Chi phí thực tế)'!AA19=0,"",ROUND('EV (Hoàn thành thực tế)'!AA19/'AC (Chi phí thực tế)'!AA19,2))</f>
        <v/>
      </c>
    </row>
    <row r="20" spans="2:27" ht="21.95" customHeight="1">
      <c r="B20" s="2">
        <v>18</v>
      </c>
      <c r="C20" s="3" t="str">
        <f>'PV (Kế hoạch)'!C20</f>
        <v>UAT (User Acceptance Testing)</v>
      </c>
      <c r="D20" s="2" t="str">
        <f>IF('AC (Chi phí thực tế)'!D20=0,"",ROUND('EV (Hoàn thành thực tế)'!D20/'AC (Chi phí thực tế)'!D20,2))</f>
        <v/>
      </c>
      <c r="E20" s="2" t="str">
        <f>IF('AC (Chi phí thực tế)'!E20=0,"",ROUND('EV (Hoàn thành thực tế)'!E20/'AC (Chi phí thực tế)'!E20,2))</f>
        <v/>
      </c>
      <c r="F20" s="2" t="str">
        <f>IF('AC (Chi phí thực tế)'!F20=0,"",ROUND('EV (Hoàn thành thực tế)'!F20/'AC (Chi phí thực tế)'!F20,2))</f>
        <v/>
      </c>
      <c r="G20" s="2" t="str">
        <f>IF('AC (Chi phí thực tế)'!G20=0,"",ROUND('EV (Hoàn thành thực tế)'!G20/'AC (Chi phí thực tế)'!G20,2))</f>
        <v/>
      </c>
      <c r="H20" s="2" t="str">
        <f>IF('AC (Chi phí thực tế)'!H20=0,"",ROUND('EV (Hoàn thành thực tế)'!H20/'AC (Chi phí thực tế)'!H20,2))</f>
        <v/>
      </c>
      <c r="I20" s="2" t="str">
        <f>IF('AC (Chi phí thực tế)'!I20=0,"",ROUND('EV (Hoàn thành thực tế)'!I20/'AC (Chi phí thực tế)'!I20,2))</f>
        <v/>
      </c>
      <c r="J20" s="2" t="str">
        <f>IF('AC (Chi phí thực tế)'!J20=0,"",ROUND('EV (Hoàn thành thực tế)'!J20/'AC (Chi phí thực tế)'!J20,2))</f>
        <v/>
      </c>
      <c r="K20" s="2" t="str">
        <f>IF('AC (Chi phí thực tế)'!K20=0,"",ROUND('EV (Hoàn thành thực tế)'!K20/'AC (Chi phí thực tế)'!K20,2))</f>
        <v/>
      </c>
      <c r="L20" s="2" t="str">
        <f>IF('AC (Chi phí thực tế)'!L20=0,"",ROUND('EV (Hoàn thành thực tế)'!L20/'AC (Chi phí thực tế)'!L20,2))</f>
        <v/>
      </c>
      <c r="M20" s="2" t="str">
        <f>IF('AC (Chi phí thực tế)'!M20=0,"",ROUND('EV (Hoàn thành thực tế)'!M20/'AC (Chi phí thực tế)'!M20,2))</f>
        <v/>
      </c>
      <c r="N20" s="2" t="str">
        <f>IF('AC (Chi phí thực tế)'!N20=0,"",ROUND('EV (Hoàn thành thực tế)'!N20/'AC (Chi phí thực tế)'!N20,2))</f>
        <v/>
      </c>
      <c r="O20" s="2" t="str">
        <f>IF('AC (Chi phí thực tế)'!O20=0,"",ROUND('EV (Hoàn thành thực tế)'!O20/'AC (Chi phí thực tế)'!O20,2))</f>
        <v/>
      </c>
      <c r="P20" s="2" t="str">
        <f>IF('AC (Chi phí thực tế)'!P20=0,"",ROUND('EV (Hoàn thành thực tế)'!P20/'AC (Chi phí thực tế)'!P20,2))</f>
        <v/>
      </c>
      <c r="Q20" s="2" t="str">
        <f>IF('AC (Chi phí thực tế)'!Q20=0,"",ROUND('EV (Hoàn thành thực tế)'!Q20/'AC (Chi phí thực tế)'!Q20,2))</f>
        <v/>
      </c>
      <c r="R20" s="2" t="str">
        <f>IF('AC (Chi phí thực tế)'!R20=0,"",ROUND('EV (Hoàn thành thực tế)'!R20/'AC (Chi phí thực tế)'!R20,2))</f>
        <v/>
      </c>
      <c r="S20" s="2" t="str">
        <f>IF('AC (Chi phí thực tế)'!S20=0,"",ROUND('EV (Hoàn thành thực tế)'!S20/'AC (Chi phí thực tế)'!S20,2))</f>
        <v/>
      </c>
      <c r="T20" s="2" t="str">
        <f>IF('AC (Chi phí thực tế)'!T20=0,"",ROUND('EV (Hoàn thành thực tế)'!T20/'AC (Chi phí thực tế)'!T20,2))</f>
        <v/>
      </c>
      <c r="U20" s="2" t="str">
        <f>IF('AC (Chi phí thực tế)'!U20=0,"",ROUND('EV (Hoàn thành thực tế)'!U20/'AC (Chi phí thực tế)'!U20,2))</f>
        <v/>
      </c>
      <c r="V20" s="2" t="str">
        <f>IF('AC (Chi phí thực tế)'!V20=0,"",ROUND('EV (Hoàn thành thực tế)'!V20/'AC (Chi phí thực tế)'!V20,2))</f>
        <v/>
      </c>
      <c r="W20" s="2" t="str">
        <f>IF('AC (Chi phí thực tế)'!W20=0,"",ROUND('EV (Hoàn thành thực tế)'!W20/'AC (Chi phí thực tế)'!W20,2))</f>
        <v/>
      </c>
      <c r="X20" s="2" t="str">
        <f>IF('AC (Chi phí thực tế)'!X20=0,"",ROUND('EV (Hoàn thành thực tế)'!X20/'AC (Chi phí thực tế)'!X20,2))</f>
        <v/>
      </c>
      <c r="Y20" s="2" t="str">
        <f>IF('AC (Chi phí thực tế)'!Y20=0,"",ROUND('EV (Hoàn thành thực tế)'!Y20/'AC (Chi phí thực tế)'!Y20,2))</f>
        <v/>
      </c>
      <c r="Z20" s="2" t="str">
        <f>IF('AC (Chi phí thực tế)'!Z20=0,"",ROUND('EV (Hoàn thành thực tế)'!Z20/'AC (Chi phí thực tế)'!Z20,2))</f>
        <v/>
      </c>
      <c r="AA20" s="2" t="str">
        <f>IF('AC (Chi phí thực tế)'!AA20=0,"",ROUND('EV (Hoàn thành thực tế)'!AA20/'AC (Chi phí thực tế)'!AA20,2))</f>
        <v/>
      </c>
    </row>
    <row r="21" spans="2:27" ht="21.95" customHeight="1">
      <c r="B21" s="2">
        <v>19</v>
      </c>
      <c r="C21" s="3" t="str">
        <f>'PV (Kế hoạch)'!C21</f>
        <v>Bug fixing</v>
      </c>
      <c r="D21" s="2" t="str">
        <f>IF('AC (Chi phí thực tế)'!D21=0,"",ROUND('EV (Hoàn thành thực tế)'!D21/'AC (Chi phí thực tế)'!D21,2))</f>
        <v/>
      </c>
      <c r="E21" s="2" t="str">
        <f>IF('AC (Chi phí thực tế)'!E21=0,"",ROUND('EV (Hoàn thành thực tế)'!E21/'AC (Chi phí thực tế)'!E21,2))</f>
        <v/>
      </c>
      <c r="F21" s="2" t="str">
        <f>IF('AC (Chi phí thực tế)'!F21=0,"",ROUND('EV (Hoàn thành thực tế)'!F21/'AC (Chi phí thực tế)'!F21,2))</f>
        <v/>
      </c>
      <c r="G21" s="2" t="str">
        <f>IF('AC (Chi phí thực tế)'!G21=0,"",ROUND('EV (Hoàn thành thực tế)'!G21/'AC (Chi phí thực tế)'!G21,2))</f>
        <v/>
      </c>
      <c r="H21" s="2" t="str">
        <f>IF('AC (Chi phí thực tế)'!H21=0,"",ROUND('EV (Hoàn thành thực tế)'!H21/'AC (Chi phí thực tế)'!H21,2))</f>
        <v/>
      </c>
      <c r="I21" s="2" t="str">
        <f>IF('AC (Chi phí thực tế)'!I21=0,"",ROUND('EV (Hoàn thành thực tế)'!I21/'AC (Chi phí thực tế)'!I21,2))</f>
        <v/>
      </c>
      <c r="J21" s="2" t="str">
        <f>IF('AC (Chi phí thực tế)'!J21=0,"",ROUND('EV (Hoàn thành thực tế)'!J21/'AC (Chi phí thực tế)'!J21,2))</f>
        <v/>
      </c>
      <c r="K21" s="2" t="str">
        <f>IF('AC (Chi phí thực tế)'!K21=0,"",ROUND('EV (Hoàn thành thực tế)'!K21/'AC (Chi phí thực tế)'!K21,2))</f>
        <v/>
      </c>
      <c r="L21" s="2" t="str">
        <f>IF('AC (Chi phí thực tế)'!L21=0,"",ROUND('EV (Hoàn thành thực tế)'!L21/'AC (Chi phí thực tế)'!L21,2))</f>
        <v/>
      </c>
      <c r="M21" s="2" t="str">
        <f>IF('AC (Chi phí thực tế)'!M21=0,"",ROUND('EV (Hoàn thành thực tế)'!M21/'AC (Chi phí thực tế)'!M21,2))</f>
        <v/>
      </c>
      <c r="N21" s="2" t="str">
        <f>IF('AC (Chi phí thực tế)'!N21=0,"",ROUND('EV (Hoàn thành thực tế)'!N21/'AC (Chi phí thực tế)'!N21,2))</f>
        <v/>
      </c>
      <c r="O21" s="2" t="str">
        <f>IF('AC (Chi phí thực tế)'!O21=0,"",ROUND('EV (Hoàn thành thực tế)'!O21/'AC (Chi phí thực tế)'!O21,2))</f>
        <v/>
      </c>
      <c r="P21" s="2" t="str">
        <f>IF('AC (Chi phí thực tế)'!P21=0,"",ROUND('EV (Hoàn thành thực tế)'!P21/'AC (Chi phí thực tế)'!P21,2))</f>
        <v/>
      </c>
      <c r="Q21" s="2" t="str">
        <f>IF('AC (Chi phí thực tế)'!Q21=0,"",ROUND('EV (Hoàn thành thực tế)'!Q21/'AC (Chi phí thực tế)'!Q21,2))</f>
        <v/>
      </c>
      <c r="R21" s="2" t="str">
        <f>IF('AC (Chi phí thực tế)'!R21=0,"",ROUND('EV (Hoàn thành thực tế)'!R21/'AC (Chi phí thực tế)'!R21,2))</f>
        <v/>
      </c>
      <c r="S21" s="2" t="str">
        <f>IF('AC (Chi phí thực tế)'!S21=0,"",ROUND('EV (Hoàn thành thực tế)'!S21/'AC (Chi phí thực tế)'!S21,2))</f>
        <v/>
      </c>
      <c r="T21" s="2" t="str">
        <f>IF('AC (Chi phí thực tế)'!T21=0,"",ROUND('EV (Hoàn thành thực tế)'!T21/'AC (Chi phí thực tế)'!T21,2))</f>
        <v/>
      </c>
      <c r="U21" s="2" t="str">
        <f>IF('AC (Chi phí thực tế)'!U21=0,"",ROUND('EV (Hoàn thành thực tế)'!U21/'AC (Chi phí thực tế)'!U21,2))</f>
        <v/>
      </c>
      <c r="V21" s="2" t="str">
        <f>IF('AC (Chi phí thực tế)'!V21=0,"",ROUND('EV (Hoàn thành thực tế)'!V21/'AC (Chi phí thực tế)'!V21,2))</f>
        <v/>
      </c>
      <c r="W21" s="2" t="str">
        <f>IF('AC (Chi phí thực tế)'!W21=0,"",ROUND('EV (Hoàn thành thực tế)'!W21/'AC (Chi phí thực tế)'!W21,2))</f>
        <v/>
      </c>
      <c r="X21" s="2" t="str">
        <f>IF('AC (Chi phí thực tế)'!X21=0,"",ROUND('EV (Hoàn thành thực tế)'!X21/'AC (Chi phí thực tế)'!X21,2))</f>
        <v/>
      </c>
      <c r="Y21" s="2" t="str">
        <f>IF('AC (Chi phí thực tế)'!Y21=0,"",ROUND('EV (Hoàn thành thực tế)'!Y21/'AC (Chi phí thực tế)'!Y21,2))</f>
        <v/>
      </c>
      <c r="Z21" s="2" t="str">
        <f>IF('AC (Chi phí thực tế)'!Z21=0,"",ROUND('EV (Hoàn thành thực tế)'!Z21/'AC (Chi phí thực tế)'!Z21,2))</f>
        <v/>
      </c>
      <c r="AA21" s="2" t="str">
        <f>IF('AC (Chi phí thực tế)'!AA21=0,"",ROUND('EV (Hoàn thành thực tế)'!AA21/'AC (Chi phí thực tế)'!AA21,2))</f>
        <v/>
      </c>
    </row>
    <row r="22" spans="2:27" ht="21.95" customHeight="1">
      <c r="B22" s="2">
        <v>20</v>
      </c>
      <c r="C22" s="3" t="str">
        <f>'PV (Kế hoạch)'!C22</f>
        <v>Performance Optimization</v>
      </c>
      <c r="D22" s="2" t="str">
        <f>IF('AC (Chi phí thực tế)'!D22=0,"",ROUND('EV (Hoàn thành thực tế)'!D22/'AC (Chi phí thực tế)'!D22,2))</f>
        <v/>
      </c>
      <c r="E22" s="2" t="str">
        <f>IF('AC (Chi phí thực tế)'!E22=0,"",ROUND('EV (Hoàn thành thực tế)'!E22/'AC (Chi phí thực tế)'!E22,2))</f>
        <v/>
      </c>
      <c r="F22" s="2" t="str">
        <f>IF('AC (Chi phí thực tế)'!F22=0,"",ROUND('EV (Hoàn thành thực tế)'!F22/'AC (Chi phí thực tế)'!F22,2))</f>
        <v/>
      </c>
      <c r="G22" s="2" t="str">
        <f>IF('AC (Chi phí thực tế)'!G22=0,"",ROUND('EV (Hoàn thành thực tế)'!G22/'AC (Chi phí thực tế)'!G22,2))</f>
        <v/>
      </c>
      <c r="H22" s="2" t="str">
        <f>IF('AC (Chi phí thực tế)'!H22=0,"",ROUND('EV (Hoàn thành thực tế)'!H22/'AC (Chi phí thực tế)'!H22,2))</f>
        <v/>
      </c>
      <c r="I22" s="2" t="str">
        <f>IF('AC (Chi phí thực tế)'!I22=0,"",ROUND('EV (Hoàn thành thực tế)'!I22/'AC (Chi phí thực tế)'!I22,2))</f>
        <v/>
      </c>
      <c r="J22" s="2" t="str">
        <f>IF('AC (Chi phí thực tế)'!J22=0,"",ROUND('EV (Hoàn thành thực tế)'!J22/'AC (Chi phí thực tế)'!J22,2))</f>
        <v/>
      </c>
      <c r="K22" s="2" t="str">
        <f>IF('AC (Chi phí thực tế)'!K22=0,"",ROUND('EV (Hoàn thành thực tế)'!K22/'AC (Chi phí thực tế)'!K22,2))</f>
        <v/>
      </c>
      <c r="L22" s="2" t="str">
        <f>IF('AC (Chi phí thực tế)'!L22=0,"",ROUND('EV (Hoàn thành thực tế)'!L22/'AC (Chi phí thực tế)'!L22,2))</f>
        <v/>
      </c>
      <c r="M22" s="2" t="str">
        <f>IF('AC (Chi phí thực tế)'!M22=0,"",ROUND('EV (Hoàn thành thực tế)'!M22/'AC (Chi phí thực tế)'!M22,2))</f>
        <v/>
      </c>
      <c r="N22" s="2" t="str">
        <f>IF('AC (Chi phí thực tế)'!N22=0,"",ROUND('EV (Hoàn thành thực tế)'!N22/'AC (Chi phí thực tế)'!N22,2))</f>
        <v/>
      </c>
      <c r="O22" s="2" t="str">
        <f>IF('AC (Chi phí thực tế)'!O22=0,"",ROUND('EV (Hoàn thành thực tế)'!O22/'AC (Chi phí thực tế)'!O22,2))</f>
        <v/>
      </c>
      <c r="P22" s="2" t="str">
        <f>IF('AC (Chi phí thực tế)'!P22=0,"",ROUND('EV (Hoàn thành thực tế)'!P22/'AC (Chi phí thực tế)'!P22,2))</f>
        <v/>
      </c>
      <c r="Q22" s="2" t="str">
        <f>IF('AC (Chi phí thực tế)'!Q22=0,"",ROUND('EV (Hoàn thành thực tế)'!Q22/'AC (Chi phí thực tế)'!Q22,2))</f>
        <v/>
      </c>
      <c r="R22" s="2" t="str">
        <f>IF('AC (Chi phí thực tế)'!R22=0,"",ROUND('EV (Hoàn thành thực tế)'!R22/'AC (Chi phí thực tế)'!R22,2))</f>
        <v/>
      </c>
      <c r="S22" s="2" t="str">
        <f>IF('AC (Chi phí thực tế)'!S22=0,"",ROUND('EV (Hoàn thành thực tế)'!S22/'AC (Chi phí thực tế)'!S22,2))</f>
        <v/>
      </c>
      <c r="T22" s="2" t="str">
        <f>IF('AC (Chi phí thực tế)'!T22=0,"",ROUND('EV (Hoàn thành thực tế)'!T22/'AC (Chi phí thực tế)'!T22,2))</f>
        <v/>
      </c>
      <c r="U22" s="2" t="str">
        <f>IF('AC (Chi phí thực tế)'!U22=0,"",ROUND('EV (Hoàn thành thực tế)'!U22/'AC (Chi phí thực tế)'!U22,2))</f>
        <v/>
      </c>
      <c r="V22" s="2" t="str">
        <f>IF('AC (Chi phí thực tế)'!V22=0,"",ROUND('EV (Hoàn thành thực tế)'!V22/'AC (Chi phí thực tế)'!V22,2))</f>
        <v/>
      </c>
      <c r="W22" s="2" t="str">
        <f>IF('AC (Chi phí thực tế)'!W22=0,"",ROUND('EV (Hoàn thành thực tế)'!W22/'AC (Chi phí thực tế)'!W22,2))</f>
        <v/>
      </c>
      <c r="X22" s="2" t="str">
        <f>IF('AC (Chi phí thực tế)'!X22=0,"",ROUND('EV (Hoàn thành thực tế)'!X22/'AC (Chi phí thực tế)'!X22,2))</f>
        <v/>
      </c>
      <c r="Y22" s="2" t="str">
        <f>IF('AC (Chi phí thực tế)'!Y22=0,"",ROUND('EV (Hoàn thành thực tế)'!Y22/'AC (Chi phí thực tế)'!Y22,2))</f>
        <v/>
      </c>
      <c r="Z22" s="2" t="str">
        <f>IF('AC (Chi phí thực tế)'!Z22=0,"",ROUND('EV (Hoàn thành thực tế)'!Z22/'AC (Chi phí thực tế)'!Z22,2))</f>
        <v/>
      </c>
      <c r="AA22" s="2" t="str">
        <f>IF('AC (Chi phí thực tế)'!AA22=0,"",ROUND('EV (Hoàn thành thực tế)'!AA22/'AC (Chi phí thực tế)'!AA22,2))</f>
        <v/>
      </c>
    </row>
    <row r="23" spans="2:27" ht="21.95" customHeight="1">
      <c r="B23" s="2">
        <v>21</v>
      </c>
      <c r="C23" s="3" t="str">
        <f>'PV (Kế hoạch)'!C23</f>
        <v>Security Review</v>
      </c>
      <c r="D23" s="2" t="str">
        <f>IF('AC (Chi phí thực tế)'!D23=0,"",ROUND('EV (Hoàn thành thực tế)'!D23/'AC (Chi phí thực tế)'!D23,2))</f>
        <v/>
      </c>
      <c r="E23" s="2" t="str">
        <f>IF('AC (Chi phí thực tế)'!E23=0,"",ROUND('EV (Hoàn thành thực tế)'!E23/'AC (Chi phí thực tế)'!E23,2))</f>
        <v/>
      </c>
      <c r="F23" s="2" t="str">
        <f>IF('AC (Chi phí thực tế)'!F23=0,"",ROUND('EV (Hoàn thành thực tế)'!F23/'AC (Chi phí thực tế)'!F23,2))</f>
        <v/>
      </c>
      <c r="G23" s="2" t="str">
        <f>IF('AC (Chi phí thực tế)'!G23=0,"",ROUND('EV (Hoàn thành thực tế)'!G23/'AC (Chi phí thực tế)'!G23,2))</f>
        <v/>
      </c>
      <c r="H23" s="2" t="str">
        <f>IF('AC (Chi phí thực tế)'!H23=0,"",ROUND('EV (Hoàn thành thực tế)'!H23/'AC (Chi phí thực tế)'!H23,2))</f>
        <v/>
      </c>
      <c r="I23" s="2" t="str">
        <f>IF('AC (Chi phí thực tế)'!I23=0,"",ROUND('EV (Hoàn thành thực tế)'!I23/'AC (Chi phí thực tế)'!I23,2))</f>
        <v/>
      </c>
      <c r="J23" s="2" t="str">
        <f>IF('AC (Chi phí thực tế)'!J23=0,"",ROUND('EV (Hoàn thành thực tế)'!J23/'AC (Chi phí thực tế)'!J23,2))</f>
        <v/>
      </c>
      <c r="K23" s="2" t="str">
        <f>IF('AC (Chi phí thực tế)'!K23=0,"",ROUND('EV (Hoàn thành thực tế)'!K23/'AC (Chi phí thực tế)'!K23,2))</f>
        <v/>
      </c>
      <c r="L23" s="2" t="str">
        <f>IF('AC (Chi phí thực tế)'!L23=0,"",ROUND('EV (Hoàn thành thực tế)'!L23/'AC (Chi phí thực tế)'!L23,2))</f>
        <v/>
      </c>
      <c r="M23" s="2" t="str">
        <f>IF('AC (Chi phí thực tế)'!M23=0,"",ROUND('EV (Hoàn thành thực tế)'!M23/'AC (Chi phí thực tế)'!M23,2))</f>
        <v/>
      </c>
      <c r="N23" s="2" t="str">
        <f>IF('AC (Chi phí thực tế)'!N23=0,"",ROUND('EV (Hoàn thành thực tế)'!N23/'AC (Chi phí thực tế)'!N23,2))</f>
        <v/>
      </c>
      <c r="O23" s="2" t="str">
        <f>IF('AC (Chi phí thực tế)'!O23=0,"",ROUND('EV (Hoàn thành thực tế)'!O23/'AC (Chi phí thực tế)'!O23,2))</f>
        <v/>
      </c>
      <c r="P23" s="2" t="str">
        <f>IF('AC (Chi phí thực tế)'!P23=0,"",ROUND('EV (Hoàn thành thực tế)'!P23/'AC (Chi phí thực tế)'!P23,2))</f>
        <v/>
      </c>
      <c r="Q23" s="2" t="str">
        <f>IF('AC (Chi phí thực tế)'!Q23=0,"",ROUND('EV (Hoàn thành thực tế)'!Q23/'AC (Chi phí thực tế)'!Q23,2))</f>
        <v/>
      </c>
      <c r="R23" s="2" t="str">
        <f>IF('AC (Chi phí thực tế)'!R23=0,"",ROUND('EV (Hoàn thành thực tế)'!R23/'AC (Chi phí thực tế)'!R23,2))</f>
        <v/>
      </c>
      <c r="S23" s="2" t="str">
        <f>IF('AC (Chi phí thực tế)'!S23=0,"",ROUND('EV (Hoàn thành thực tế)'!S23/'AC (Chi phí thực tế)'!S23,2))</f>
        <v/>
      </c>
      <c r="T23" s="2" t="str">
        <f>IF('AC (Chi phí thực tế)'!T23=0,"",ROUND('EV (Hoàn thành thực tế)'!T23/'AC (Chi phí thực tế)'!T23,2))</f>
        <v/>
      </c>
      <c r="U23" s="2" t="str">
        <f>IF('AC (Chi phí thực tế)'!U23=0,"",ROUND('EV (Hoàn thành thực tế)'!U23/'AC (Chi phí thực tế)'!U23,2))</f>
        <v/>
      </c>
      <c r="V23" s="2" t="str">
        <f>IF('AC (Chi phí thực tế)'!V23=0,"",ROUND('EV (Hoàn thành thực tế)'!V23/'AC (Chi phí thực tế)'!V23,2))</f>
        <v/>
      </c>
      <c r="W23" s="2" t="str">
        <f>IF('AC (Chi phí thực tế)'!W23=0,"",ROUND('EV (Hoàn thành thực tế)'!W23/'AC (Chi phí thực tế)'!W23,2))</f>
        <v/>
      </c>
      <c r="X23" s="2" t="str">
        <f>IF('AC (Chi phí thực tế)'!X23=0,"",ROUND('EV (Hoàn thành thực tế)'!X23/'AC (Chi phí thực tế)'!X23,2))</f>
        <v/>
      </c>
      <c r="Y23" s="2" t="str">
        <f>IF('AC (Chi phí thực tế)'!Y23=0,"",ROUND('EV (Hoàn thành thực tế)'!Y23/'AC (Chi phí thực tế)'!Y23,2))</f>
        <v/>
      </c>
      <c r="Z23" s="2" t="str">
        <f>IF('AC (Chi phí thực tế)'!Z23=0,"",ROUND('EV (Hoàn thành thực tế)'!Z23/'AC (Chi phí thực tế)'!Z23,2))</f>
        <v/>
      </c>
      <c r="AA23" s="2" t="str">
        <f>IF('AC (Chi phí thực tế)'!AA23=0,"",ROUND('EV (Hoàn thành thực tế)'!AA23/'AC (Chi phí thực tế)'!AA23,2))</f>
        <v/>
      </c>
    </row>
    <row r="24" spans="2:27" ht="21.95" customHeight="1">
      <c r="B24" s="2">
        <v>22</v>
      </c>
      <c r="C24" s="3" t="str">
        <f>'PV (Kế hoạch)'!C24</f>
        <v>Documentation</v>
      </c>
      <c r="D24" s="2" t="str">
        <f>IF('AC (Chi phí thực tế)'!D24=0,"",ROUND('EV (Hoàn thành thực tế)'!D24/'AC (Chi phí thực tế)'!D24,2))</f>
        <v/>
      </c>
      <c r="E24" s="2" t="str">
        <f>IF('AC (Chi phí thực tế)'!E24=0,"",ROUND('EV (Hoàn thành thực tế)'!E24/'AC (Chi phí thực tế)'!E24,2))</f>
        <v/>
      </c>
      <c r="F24" s="2" t="str">
        <f>IF('AC (Chi phí thực tế)'!F24=0,"",ROUND('EV (Hoàn thành thực tế)'!F24/'AC (Chi phí thực tế)'!F24,2))</f>
        <v/>
      </c>
      <c r="G24" s="2" t="str">
        <f>IF('AC (Chi phí thực tế)'!G24=0,"",ROUND('EV (Hoàn thành thực tế)'!G24/'AC (Chi phí thực tế)'!G24,2))</f>
        <v/>
      </c>
      <c r="H24" s="2" t="str">
        <f>IF('AC (Chi phí thực tế)'!H24=0,"",ROUND('EV (Hoàn thành thực tế)'!H24/'AC (Chi phí thực tế)'!H24,2))</f>
        <v/>
      </c>
      <c r="I24" s="2" t="str">
        <f>IF('AC (Chi phí thực tế)'!I24=0,"",ROUND('EV (Hoàn thành thực tế)'!I24/'AC (Chi phí thực tế)'!I24,2))</f>
        <v/>
      </c>
      <c r="J24" s="2" t="str">
        <f>IF('AC (Chi phí thực tế)'!J24=0,"",ROUND('EV (Hoàn thành thực tế)'!J24/'AC (Chi phí thực tế)'!J24,2))</f>
        <v/>
      </c>
      <c r="K24" s="2" t="str">
        <f>IF('AC (Chi phí thực tế)'!K24=0,"",ROUND('EV (Hoàn thành thực tế)'!K24/'AC (Chi phí thực tế)'!K24,2))</f>
        <v/>
      </c>
      <c r="L24" s="2" t="str">
        <f>IF('AC (Chi phí thực tế)'!L24=0,"",ROUND('EV (Hoàn thành thực tế)'!L24/'AC (Chi phí thực tế)'!L24,2))</f>
        <v/>
      </c>
      <c r="M24" s="2" t="str">
        <f>IF('AC (Chi phí thực tế)'!M24=0,"",ROUND('EV (Hoàn thành thực tế)'!M24/'AC (Chi phí thực tế)'!M24,2))</f>
        <v/>
      </c>
      <c r="N24" s="2" t="str">
        <f>IF('AC (Chi phí thực tế)'!N24=0,"",ROUND('EV (Hoàn thành thực tế)'!N24/'AC (Chi phí thực tế)'!N24,2))</f>
        <v/>
      </c>
      <c r="O24" s="2" t="str">
        <f>IF('AC (Chi phí thực tế)'!O24=0,"",ROUND('EV (Hoàn thành thực tế)'!O24/'AC (Chi phí thực tế)'!O24,2))</f>
        <v/>
      </c>
      <c r="P24" s="2" t="str">
        <f>IF('AC (Chi phí thực tế)'!P24=0,"",ROUND('EV (Hoàn thành thực tế)'!P24/'AC (Chi phí thực tế)'!P24,2))</f>
        <v/>
      </c>
      <c r="Q24" s="2" t="str">
        <f>IF('AC (Chi phí thực tế)'!Q24=0,"",ROUND('EV (Hoàn thành thực tế)'!Q24/'AC (Chi phí thực tế)'!Q24,2))</f>
        <v/>
      </c>
      <c r="R24" s="2" t="str">
        <f>IF('AC (Chi phí thực tế)'!R24=0,"",ROUND('EV (Hoàn thành thực tế)'!R24/'AC (Chi phí thực tế)'!R24,2))</f>
        <v/>
      </c>
      <c r="S24" s="2" t="str">
        <f>IF('AC (Chi phí thực tế)'!S24=0,"",ROUND('EV (Hoàn thành thực tế)'!S24/'AC (Chi phí thực tế)'!S24,2))</f>
        <v/>
      </c>
      <c r="T24" s="2" t="str">
        <f>IF('AC (Chi phí thực tế)'!T24=0,"",ROUND('EV (Hoàn thành thực tế)'!T24/'AC (Chi phí thực tế)'!T24,2))</f>
        <v/>
      </c>
      <c r="U24" s="2" t="str">
        <f>IF('AC (Chi phí thực tế)'!U24=0,"",ROUND('EV (Hoàn thành thực tế)'!U24/'AC (Chi phí thực tế)'!U24,2))</f>
        <v/>
      </c>
      <c r="V24" s="2" t="str">
        <f>IF('AC (Chi phí thực tế)'!V24=0,"",ROUND('EV (Hoàn thành thực tế)'!V24/'AC (Chi phí thực tế)'!V24,2))</f>
        <v/>
      </c>
      <c r="W24" s="2" t="str">
        <f>IF('AC (Chi phí thực tế)'!W24=0,"",ROUND('EV (Hoàn thành thực tế)'!W24/'AC (Chi phí thực tế)'!W24,2))</f>
        <v/>
      </c>
      <c r="X24" s="2" t="str">
        <f>IF('AC (Chi phí thực tế)'!X24=0,"",ROUND('EV (Hoàn thành thực tế)'!X24/'AC (Chi phí thực tế)'!X24,2))</f>
        <v/>
      </c>
      <c r="Y24" s="2" t="str">
        <f>IF('AC (Chi phí thực tế)'!Y24=0,"",ROUND('EV (Hoàn thành thực tế)'!Y24/'AC (Chi phí thực tế)'!Y24,2))</f>
        <v/>
      </c>
      <c r="Z24" s="2" t="str">
        <f>IF('AC (Chi phí thực tế)'!Z24=0,"",ROUND('EV (Hoàn thành thực tế)'!Z24/'AC (Chi phí thực tế)'!Z24,2))</f>
        <v/>
      </c>
      <c r="AA24" s="2" t="str">
        <f>IF('AC (Chi phí thực tế)'!AA24=0,"",ROUND('EV (Hoàn thành thực tế)'!AA24/'AC (Chi phí thực tế)'!AA24,2))</f>
        <v/>
      </c>
    </row>
    <row r="25" spans="2:27" ht="21.95" customHeight="1">
      <c r="B25" s="2">
        <v>23</v>
      </c>
      <c r="C25" s="3" t="str">
        <f>'PV (Kế hoạch)'!C25</f>
        <v>Training</v>
      </c>
      <c r="D25" s="2" t="str">
        <f>IF('AC (Chi phí thực tế)'!D25=0,"",ROUND('EV (Hoàn thành thực tế)'!D25/'AC (Chi phí thực tế)'!D25,2))</f>
        <v/>
      </c>
      <c r="E25" s="2" t="str">
        <f>IF('AC (Chi phí thực tế)'!E25=0,"",ROUND('EV (Hoàn thành thực tế)'!E25/'AC (Chi phí thực tế)'!E25,2))</f>
        <v/>
      </c>
      <c r="F25" s="2" t="str">
        <f>IF('AC (Chi phí thực tế)'!F25=0,"",ROUND('EV (Hoàn thành thực tế)'!F25/'AC (Chi phí thực tế)'!F25,2))</f>
        <v/>
      </c>
      <c r="G25" s="2" t="str">
        <f>IF('AC (Chi phí thực tế)'!G25=0,"",ROUND('EV (Hoàn thành thực tế)'!G25/'AC (Chi phí thực tế)'!G25,2))</f>
        <v/>
      </c>
      <c r="H25" s="2" t="str">
        <f>IF('AC (Chi phí thực tế)'!H25=0,"",ROUND('EV (Hoàn thành thực tế)'!H25/'AC (Chi phí thực tế)'!H25,2))</f>
        <v/>
      </c>
      <c r="I25" s="2" t="str">
        <f>IF('AC (Chi phí thực tế)'!I25=0,"",ROUND('EV (Hoàn thành thực tế)'!I25/'AC (Chi phí thực tế)'!I25,2))</f>
        <v/>
      </c>
      <c r="J25" s="2" t="str">
        <f>IF('AC (Chi phí thực tế)'!J25=0,"",ROUND('EV (Hoàn thành thực tế)'!J25/'AC (Chi phí thực tế)'!J25,2))</f>
        <v/>
      </c>
      <c r="K25" s="2" t="str">
        <f>IF('AC (Chi phí thực tế)'!K25=0,"",ROUND('EV (Hoàn thành thực tế)'!K25/'AC (Chi phí thực tế)'!K25,2))</f>
        <v/>
      </c>
      <c r="L25" s="2" t="str">
        <f>IF('AC (Chi phí thực tế)'!L25=0,"",ROUND('EV (Hoàn thành thực tế)'!L25/'AC (Chi phí thực tế)'!L25,2))</f>
        <v/>
      </c>
      <c r="M25" s="2" t="str">
        <f>IF('AC (Chi phí thực tế)'!M25=0,"",ROUND('EV (Hoàn thành thực tế)'!M25/'AC (Chi phí thực tế)'!M25,2))</f>
        <v/>
      </c>
      <c r="N25" s="2" t="str">
        <f>IF('AC (Chi phí thực tế)'!N25=0,"",ROUND('EV (Hoàn thành thực tế)'!N25/'AC (Chi phí thực tế)'!N25,2))</f>
        <v/>
      </c>
      <c r="O25" s="2" t="str">
        <f>IF('AC (Chi phí thực tế)'!O25=0,"",ROUND('EV (Hoàn thành thực tế)'!O25/'AC (Chi phí thực tế)'!O25,2))</f>
        <v/>
      </c>
      <c r="P25" s="2" t="str">
        <f>IF('AC (Chi phí thực tế)'!P25=0,"",ROUND('EV (Hoàn thành thực tế)'!P25/'AC (Chi phí thực tế)'!P25,2))</f>
        <v/>
      </c>
      <c r="Q25" s="2" t="str">
        <f>IF('AC (Chi phí thực tế)'!Q25=0,"",ROUND('EV (Hoàn thành thực tế)'!Q25/'AC (Chi phí thực tế)'!Q25,2))</f>
        <v/>
      </c>
      <c r="R25" s="2" t="str">
        <f>IF('AC (Chi phí thực tế)'!R25=0,"",ROUND('EV (Hoàn thành thực tế)'!R25/'AC (Chi phí thực tế)'!R25,2))</f>
        <v/>
      </c>
      <c r="S25" s="2" t="str">
        <f>IF('AC (Chi phí thực tế)'!S25=0,"",ROUND('EV (Hoàn thành thực tế)'!S25/'AC (Chi phí thực tế)'!S25,2))</f>
        <v/>
      </c>
      <c r="T25" s="2" t="str">
        <f>IF('AC (Chi phí thực tế)'!T25=0,"",ROUND('EV (Hoàn thành thực tế)'!T25/'AC (Chi phí thực tế)'!T25,2))</f>
        <v/>
      </c>
      <c r="U25" s="2" t="str">
        <f>IF('AC (Chi phí thực tế)'!U25=0,"",ROUND('EV (Hoàn thành thực tế)'!U25/'AC (Chi phí thực tế)'!U25,2))</f>
        <v/>
      </c>
      <c r="V25" s="2" t="str">
        <f>IF('AC (Chi phí thực tế)'!V25=0,"",ROUND('EV (Hoàn thành thực tế)'!V25/'AC (Chi phí thực tế)'!V25,2))</f>
        <v/>
      </c>
      <c r="W25" s="2" t="str">
        <f>IF('AC (Chi phí thực tế)'!W25=0,"",ROUND('EV (Hoàn thành thực tế)'!W25/'AC (Chi phí thực tế)'!W25,2))</f>
        <v/>
      </c>
      <c r="X25" s="2" t="str">
        <f>IF('AC (Chi phí thực tế)'!X25=0,"",ROUND('EV (Hoàn thành thực tế)'!X25/'AC (Chi phí thực tế)'!X25,2))</f>
        <v/>
      </c>
      <c r="Y25" s="2" t="str">
        <f>IF('AC (Chi phí thực tế)'!Y25=0,"",ROUND('EV (Hoàn thành thực tế)'!Y25/'AC (Chi phí thực tế)'!Y25,2))</f>
        <v/>
      </c>
      <c r="Z25" s="2" t="str">
        <f>IF('AC (Chi phí thực tế)'!Z25=0,"",ROUND('EV (Hoàn thành thực tế)'!Z25/'AC (Chi phí thực tế)'!Z25,2))</f>
        <v/>
      </c>
      <c r="AA25" s="2" t="str">
        <f>IF('AC (Chi phí thực tế)'!AA25=0,"",ROUND('EV (Hoàn thành thực tế)'!AA25/'AC (Chi phí thực tế)'!AA25,2))</f>
        <v/>
      </c>
    </row>
    <row r="26" spans="2:27" ht="21.95" customHeight="1">
      <c r="B26" s="2">
        <v>24</v>
      </c>
      <c r="C26" s="3" t="str">
        <f>'PV (Kế hoạch)'!C26</f>
        <v>Deployment</v>
      </c>
      <c r="D26" s="2" t="str">
        <f>IF('AC (Chi phí thực tế)'!D26=0,"",ROUND('EV (Hoàn thành thực tế)'!D26/'AC (Chi phí thực tế)'!D26,2))</f>
        <v/>
      </c>
      <c r="E26" s="2" t="str">
        <f>IF('AC (Chi phí thực tế)'!E26=0,"",ROUND('EV (Hoàn thành thực tế)'!E26/'AC (Chi phí thực tế)'!E26,2))</f>
        <v/>
      </c>
      <c r="F26" s="2" t="str">
        <f>IF('AC (Chi phí thực tế)'!F26=0,"",ROUND('EV (Hoàn thành thực tế)'!F26/'AC (Chi phí thực tế)'!F26,2))</f>
        <v/>
      </c>
      <c r="G26" s="2" t="str">
        <f>IF('AC (Chi phí thực tế)'!G26=0,"",ROUND('EV (Hoàn thành thực tế)'!G26/'AC (Chi phí thực tế)'!G26,2))</f>
        <v/>
      </c>
      <c r="H26" s="2" t="str">
        <f>IF('AC (Chi phí thực tế)'!H26=0,"",ROUND('EV (Hoàn thành thực tế)'!H26/'AC (Chi phí thực tế)'!H26,2))</f>
        <v/>
      </c>
      <c r="I26" s="2" t="str">
        <f>IF('AC (Chi phí thực tế)'!I26=0,"",ROUND('EV (Hoàn thành thực tế)'!I26/'AC (Chi phí thực tế)'!I26,2))</f>
        <v/>
      </c>
      <c r="J26" s="2" t="str">
        <f>IF('AC (Chi phí thực tế)'!J26=0,"",ROUND('EV (Hoàn thành thực tế)'!J26/'AC (Chi phí thực tế)'!J26,2))</f>
        <v/>
      </c>
      <c r="K26" s="2" t="str">
        <f>IF('AC (Chi phí thực tế)'!K26=0,"",ROUND('EV (Hoàn thành thực tế)'!K26/'AC (Chi phí thực tế)'!K26,2))</f>
        <v/>
      </c>
      <c r="L26" s="2" t="str">
        <f>IF('AC (Chi phí thực tế)'!L26=0,"",ROUND('EV (Hoàn thành thực tế)'!L26/'AC (Chi phí thực tế)'!L26,2))</f>
        <v/>
      </c>
      <c r="M26" s="2" t="str">
        <f>IF('AC (Chi phí thực tế)'!M26=0,"",ROUND('EV (Hoàn thành thực tế)'!M26/'AC (Chi phí thực tế)'!M26,2))</f>
        <v/>
      </c>
      <c r="N26" s="2" t="str">
        <f>IF('AC (Chi phí thực tế)'!N26=0,"",ROUND('EV (Hoàn thành thực tế)'!N26/'AC (Chi phí thực tế)'!N26,2))</f>
        <v/>
      </c>
      <c r="O26" s="2" t="str">
        <f>IF('AC (Chi phí thực tế)'!O26=0,"",ROUND('EV (Hoàn thành thực tế)'!O26/'AC (Chi phí thực tế)'!O26,2))</f>
        <v/>
      </c>
      <c r="P26" s="2" t="str">
        <f>IF('AC (Chi phí thực tế)'!P26=0,"",ROUND('EV (Hoàn thành thực tế)'!P26/'AC (Chi phí thực tế)'!P26,2))</f>
        <v/>
      </c>
      <c r="Q26" s="2" t="str">
        <f>IF('AC (Chi phí thực tế)'!Q26=0,"",ROUND('EV (Hoàn thành thực tế)'!Q26/'AC (Chi phí thực tế)'!Q26,2))</f>
        <v/>
      </c>
      <c r="R26" s="2" t="str">
        <f>IF('AC (Chi phí thực tế)'!R26=0,"",ROUND('EV (Hoàn thành thực tế)'!R26/'AC (Chi phí thực tế)'!R26,2))</f>
        <v/>
      </c>
      <c r="S26" s="2" t="str">
        <f>IF('AC (Chi phí thực tế)'!S26=0,"",ROUND('EV (Hoàn thành thực tế)'!S26/'AC (Chi phí thực tế)'!S26,2))</f>
        <v/>
      </c>
      <c r="T26" s="2" t="str">
        <f>IF('AC (Chi phí thực tế)'!T26=0,"",ROUND('EV (Hoàn thành thực tế)'!T26/'AC (Chi phí thực tế)'!T26,2))</f>
        <v/>
      </c>
      <c r="U26" s="2" t="str">
        <f>IF('AC (Chi phí thực tế)'!U26=0,"",ROUND('EV (Hoàn thành thực tế)'!U26/'AC (Chi phí thực tế)'!U26,2))</f>
        <v/>
      </c>
      <c r="V26" s="2" t="str">
        <f>IF('AC (Chi phí thực tế)'!V26=0,"",ROUND('EV (Hoàn thành thực tế)'!V26/'AC (Chi phí thực tế)'!V26,2))</f>
        <v/>
      </c>
      <c r="W26" s="2" t="str">
        <f>IF('AC (Chi phí thực tế)'!W26=0,"",ROUND('EV (Hoàn thành thực tế)'!W26/'AC (Chi phí thực tế)'!W26,2))</f>
        <v/>
      </c>
      <c r="X26" s="2" t="str">
        <f>IF('AC (Chi phí thực tế)'!X26=0,"",ROUND('EV (Hoàn thành thực tế)'!X26/'AC (Chi phí thực tế)'!X26,2))</f>
        <v/>
      </c>
      <c r="Y26" s="2" t="str">
        <f>IF('AC (Chi phí thực tế)'!Y26=0,"",ROUND('EV (Hoàn thành thực tế)'!Y26/'AC (Chi phí thực tế)'!Y26,2))</f>
        <v/>
      </c>
      <c r="Z26" s="2" t="str">
        <f>IF('AC (Chi phí thực tế)'!Z26=0,"",ROUND('EV (Hoàn thành thực tế)'!Z26/'AC (Chi phí thực tế)'!Z26,2))</f>
        <v/>
      </c>
      <c r="AA26" s="2" t="str">
        <f>IF('AC (Chi phí thực tế)'!AA26=0,"",ROUND('EV (Hoàn thành thực tế)'!AA26/'AC (Chi phí thực tế)'!AA26,2))</f>
        <v/>
      </c>
    </row>
    <row r="27" spans="2:27" ht="21.95" customHeight="1">
      <c r="B27" s="2">
        <v>25</v>
      </c>
      <c r="C27" s="3" t="str">
        <f>'PV (Kế hoạch)'!C27</f>
        <v>Go-live Support</v>
      </c>
      <c r="D27" s="2" t="str">
        <f>IF('AC (Chi phí thực tế)'!D27=0,"",ROUND('EV (Hoàn thành thực tế)'!D27/'AC (Chi phí thực tế)'!D27,2))</f>
        <v/>
      </c>
      <c r="E27" s="2" t="str">
        <f>IF('AC (Chi phí thực tế)'!E27=0,"",ROUND('EV (Hoàn thành thực tế)'!E27/'AC (Chi phí thực tế)'!E27,2))</f>
        <v/>
      </c>
      <c r="F27" s="2" t="str">
        <f>IF('AC (Chi phí thực tế)'!F27=0,"",ROUND('EV (Hoàn thành thực tế)'!F27/'AC (Chi phí thực tế)'!F27,2))</f>
        <v/>
      </c>
      <c r="G27" s="2" t="str">
        <f>IF('AC (Chi phí thực tế)'!G27=0,"",ROUND('EV (Hoàn thành thực tế)'!G27/'AC (Chi phí thực tế)'!G27,2))</f>
        <v/>
      </c>
      <c r="H27" s="2" t="str">
        <f>IF('AC (Chi phí thực tế)'!H27=0,"",ROUND('EV (Hoàn thành thực tế)'!H27/'AC (Chi phí thực tế)'!H27,2))</f>
        <v/>
      </c>
      <c r="I27" s="2" t="str">
        <f>IF('AC (Chi phí thực tế)'!I27=0,"",ROUND('EV (Hoàn thành thực tế)'!I27/'AC (Chi phí thực tế)'!I27,2))</f>
        <v/>
      </c>
      <c r="J27" s="2" t="str">
        <f>IF('AC (Chi phí thực tế)'!J27=0,"",ROUND('EV (Hoàn thành thực tế)'!J27/'AC (Chi phí thực tế)'!J27,2))</f>
        <v/>
      </c>
      <c r="K27" s="2" t="str">
        <f>IF('AC (Chi phí thực tế)'!K27=0,"",ROUND('EV (Hoàn thành thực tế)'!K27/'AC (Chi phí thực tế)'!K27,2))</f>
        <v/>
      </c>
      <c r="L27" s="2" t="str">
        <f>IF('AC (Chi phí thực tế)'!L27=0,"",ROUND('EV (Hoàn thành thực tế)'!L27/'AC (Chi phí thực tế)'!L27,2))</f>
        <v/>
      </c>
      <c r="M27" s="2" t="str">
        <f>IF('AC (Chi phí thực tế)'!M27=0,"",ROUND('EV (Hoàn thành thực tế)'!M27/'AC (Chi phí thực tế)'!M27,2))</f>
        <v/>
      </c>
      <c r="N27" s="2" t="str">
        <f>IF('AC (Chi phí thực tế)'!N27=0,"",ROUND('EV (Hoàn thành thực tế)'!N27/'AC (Chi phí thực tế)'!N27,2))</f>
        <v/>
      </c>
      <c r="O27" s="2" t="str">
        <f>IF('AC (Chi phí thực tế)'!O27=0,"",ROUND('EV (Hoàn thành thực tế)'!O27/'AC (Chi phí thực tế)'!O27,2))</f>
        <v/>
      </c>
      <c r="P27" s="2" t="str">
        <f>IF('AC (Chi phí thực tế)'!P27=0,"",ROUND('EV (Hoàn thành thực tế)'!P27/'AC (Chi phí thực tế)'!P27,2))</f>
        <v/>
      </c>
      <c r="Q27" s="2" t="str">
        <f>IF('AC (Chi phí thực tế)'!Q27=0,"",ROUND('EV (Hoàn thành thực tế)'!Q27/'AC (Chi phí thực tế)'!Q27,2))</f>
        <v/>
      </c>
      <c r="R27" s="2" t="str">
        <f>IF('AC (Chi phí thực tế)'!R27=0,"",ROUND('EV (Hoàn thành thực tế)'!R27/'AC (Chi phí thực tế)'!R27,2))</f>
        <v/>
      </c>
      <c r="S27" s="2" t="str">
        <f>IF('AC (Chi phí thực tế)'!S27=0,"",ROUND('EV (Hoàn thành thực tế)'!S27/'AC (Chi phí thực tế)'!S27,2))</f>
        <v/>
      </c>
      <c r="T27" s="2" t="str">
        <f>IF('AC (Chi phí thực tế)'!T27=0,"",ROUND('EV (Hoàn thành thực tế)'!T27/'AC (Chi phí thực tế)'!T27,2))</f>
        <v/>
      </c>
      <c r="U27" s="2" t="str">
        <f>IF('AC (Chi phí thực tế)'!U27=0,"",ROUND('EV (Hoàn thành thực tế)'!U27/'AC (Chi phí thực tế)'!U27,2))</f>
        <v/>
      </c>
      <c r="V27" s="2" t="str">
        <f>IF('AC (Chi phí thực tế)'!V27=0,"",ROUND('EV (Hoàn thành thực tế)'!V27/'AC (Chi phí thực tế)'!V27,2))</f>
        <v/>
      </c>
      <c r="W27" s="2" t="str">
        <f>IF('AC (Chi phí thực tế)'!W27=0,"",ROUND('EV (Hoàn thành thực tế)'!W27/'AC (Chi phí thực tế)'!W27,2))</f>
        <v/>
      </c>
      <c r="X27" s="2" t="str">
        <f>IF('AC (Chi phí thực tế)'!X27=0,"",ROUND('EV (Hoàn thành thực tế)'!X27/'AC (Chi phí thực tế)'!X27,2))</f>
        <v/>
      </c>
      <c r="Y27" s="2" t="str">
        <f>IF('AC (Chi phí thực tế)'!Y27=0,"",ROUND('EV (Hoàn thành thực tế)'!Y27/'AC (Chi phí thực tế)'!Y27,2))</f>
        <v/>
      </c>
      <c r="Z27" s="2" t="str">
        <f>IF('AC (Chi phí thực tế)'!Z27=0,"",ROUND('EV (Hoàn thành thực tế)'!Z27/'AC (Chi phí thực tế)'!Z27,2))</f>
        <v/>
      </c>
      <c r="AA27" s="2" t="str">
        <f>IF('AC (Chi phí thực tế)'!AA27=0,"",ROUND('EV (Hoàn thành thực tế)'!AA27/'AC (Chi phí thực tế)'!AA27,2))</f>
        <v/>
      </c>
    </row>
    <row r="28" spans="2:27" ht="21.95" customHeight="1">
      <c r="B28" s="2">
        <v>26</v>
      </c>
      <c r="C28" s="3">
        <f>'PV (Kế hoạch)'!C28</f>
        <v>0</v>
      </c>
      <c r="D28" s="2" t="str">
        <f>IF('AC (Chi phí thực tế)'!D28=0,"",ROUND('EV (Hoàn thành thực tế)'!D28/'AC (Chi phí thực tế)'!D28,2))</f>
        <v/>
      </c>
      <c r="E28" s="2" t="str">
        <f>IF('AC (Chi phí thực tế)'!E28=0,"",ROUND('EV (Hoàn thành thực tế)'!E28/'AC (Chi phí thực tế)'!E28,2))</f>
        <v/>
      </c>
      <c r="F28" s="2" t="str">
        <f>IF('AC (Chi phí thực tế)'!F28=0,"",ROUND('EV (Hoàn thành thực tế)'!F28/'AC (Chi phí thực tế)'!F28,2))</f>
        <v/>
      </c>
      <c r="G28" s="2" t="str">
        <f>IF('AC (Chi phí thực tế)'!G28=0,"",ROUND('EV (Hoàn thành thực tế)'!G28/'AC (Chi phí thực tế)'!G28,2))</f>
        <v/>
      </c>
      <c r="H28" s="2" t="str">
        <f>IF('AC (Chi phí thực tế)'!H28=0,"",ROUND('EV (Hoàn thành thực tế)'!H28/'AC (Chi phí thực tế)'!H28,2))</f>
        <v/>
      </c>
      <c r="I28" s="2" t="str">
        <f>IF('AC (Chi phí thực tế)'!I28=0,"",ROUND('EV (Hoàn thành thực tế)'!I28/'AC (Chi phí thực tế)'!I28,2))</f>
        <v/>
      </c>
      <c r="J28" s="2" t="str">
        <f>IF('AC (Chi phí thực tế)'!J28=0,"",ROUND('EV (Hoàn thành thực tế)'!J28/'AC (Chi phí thực tế)'!J28,2))</f>
        <v/>
      </c>
      <c r="K28" s="2" t="str">
        <f>IF('AC (Chi phí thực tế)'!K28=0,"",ROUND('EV (Hoàn thành thực tế)'!K28/'AC (Chi phí thực tế)'!K28,2))</f>
        <v/>
      </c>
      <c r="L28" s="2" t="str">
        <f>IF('AC (Chi phí thực tế)'!L28=0,"",ROUND('EV (Hoàn thành thực tế)'!L28/'AC (Chi phí thực tế)'!L28,2))</f>
        <v/>
      </c>
      <c r="M28" s="2" t="str">
        <f>IF('AC (Chi phí thực tế)'!M28=0,"",ROUND('EV (Hoàn thành thực tế)'!M28/'AC (Chi phí thực tế)'!M28,2))</f>
        <v/>
      </c>
      <c r="N28" s="2" t="str">
        <f>IF('AC (Chi phí thực tế)'!N28=0,"",ROUND('EV (Hoàn thành thực tế)'!N28/'AC (Chi phí thực tế)'!N28,2))</f>
        <v/>
      </c>
      <c r="O28" s="2" t="str">
        <f>IF('AC (Chi phí thực tế)'!O28=0,"",ROUND('EV (Hoàn thành thực tế)'!O28/'AC (Chi phí thực tế)'!O28,2))</f>
        <v/>
      </c>
      <c r="P28" s="2" t="str">
        <f>IF('AC (Chi phí thực tế)'!P28=0,"",ROUND('EV (Hoàn thành thực tế)'!P28/'AC (Chi phí thực tế)'!P28,2))</f>
        <v/>
      </c>
      <c r="Q28" s="2" t="str">
        <f>IF('AC (Chi phí thực tế)'!Q28=0,"",ROUND('EV (Hoàn thành thực tế)'!Q28/'AC (Chi phí thực tế)'!Q28,2))</f>
        <v/>
      </c>
      <c r="R28" s="2" t="str">
        <f>IF('AC (Chi phí thực tế)'!R28=0,"",ROUND('EV (Hoàn thành thực tế)'!R28/'AC (Chi phí thực tế)'!R28,2))</f>
        <v/>
      </c>
      <c r="S28" s="2" t="str">
        <f>IF('AC (Chi phí thực tế)'!S28=0,"",ROUND('EV (Hoàn thành thực tế)'!S28/'AC (Chi phí thực tế)'!S28,2))</f>
        <v/>
      </c>
      <c r="T28" s="2" t="str">
        <f>IF('AC (Chi phí thực tế)'!T28=0,"",ROUND('EV (Hoàn thành thực tế)'!T28/'AC (Chi phí thực tế)'!T28,2))</f>
        <v/>
      </c>
      <c r="U28" s="2" t="str">
        <f>IF('AC (Chi phí thực tế)'!U28=0,"",ROUND('EV (Hoàn thành thực tế)'!U28/'AC (Chi phí thực tế)'!U28,2))</f>
        <v/>
      </c>
      <c r="V28" s="2" t="str">
        <f>IF('AC (Chi phí thực tế)'!V28=0,"",ROUND('EV (Hoàn thành thực tế)'!V28/'AC (Chi phí thực tế)'!V28,2))</f>
        <v/>
      </c>
      <c r="W28" s="2" t="str">
        <f>IF('AC (Chi phí thực tế)'!W28=0,"",ROUND('EV (Hoàn thành thực tế)'!W28/'AC (Chi phí thực tế)'!W28,2))</f>
        <v/>
      </c>
      <c r="X28" s="2" t="str">
        <f>IF('AC (Chi phí thực tế)'!X28=0,"",ROUND('EV (Hoàn thành thực tế)'!X28/'AC (Chi phí thực tế)'!X28,2))</f>
        <v/>
      </c>
      <c r="Y28" s="2" t="str">
        <f>IF('AC (Chi phí thực tế)'!Y28=0,"",ROUND('EV (Hoàn thành thực tế)'!Y28/'AC (Chi phí thực tế)'!Y28,2))</f>
        <v/>
      </c>
      <c r="Z28" s="2" t="str">
        <f>IF('AC (Chi phí thực tế)'!Z28=0,"",ROUND('EV (Hoàn thành thực tế)'!Z28/'AC (Chi phí thực tế)'!Z28,2))</f>
        <v/>
      </c>
      <c r="AA28" s="2" t="str">
        <f>IF('AC (Chi phí thực tế)'!AA28=0,"",ROUND('EV (Hoàn thành thực tế)'!AA28/'AC (Chi phí thực tế)'!AA28,2))</f>
        <v/>
      </c>
    </row>
    <row r="29" spans="2:27" ht="21.95" customHeight="1">
      <c r="B29" s="2">
        <v>27</v>
      </c>
      <c r="C29" s="3">
        <f>'PV (Kế hoạch)'!C29</f>
        <v>0</v>
      </c>
      <c r="D29" s="2" t="str">
        <f>IF('AC (Chi phí thực tế)'!D29=0,"",ROUND('EV (Hoàn thành thực tế)'!D29/'AC (Chi phí thực tế)'!D29,2))</f>
        <v/>
      </c>
      <c r="E29" s="2" t="str">
        <f>IF('AC (Chi phí thực tế)'!E29=0,"",ROUND('EV (Hoàn thành thực tế)'!E29/'AC (Chi phí thực tế)'!E29,2))</f>
        <v/>
      </c>
      <c r="F29" s="2" t="str">
        <f>IF('AC (Chi phí thực tế)'!F29=0,"",ROUND('EV (Hoàn thành thực tế)'!F29/'AC (Chi phí thực tế)'!F29,2))</f>
        <v/>
      </c>
      <c r="G29" s="2" t="str">
        <f>IF('AC (Chi phí thực tế)'!G29=0,"",ROUND('EV (Hoàn thành thực tế)'!G29/'AC (Chi phí thực tế)'!G29,2))</f>
        <v/>
      </c>
      <c r="H29" s="2" t="str">
        <f>IF('AC (Chi phí thực tế)'!H29=0,"",ROUND('EV (Hoàn thành thực tế)'!H29/'AC (Chi phí thực tế)'!H29,2))</f>
        <v/>
      </c>
      <c r="I29" s="2" t="str">
        <f>IF('AC (Chi phí thực tế)'!I29=0,"",ROUND('EV (Hoàn thành thực tế)'!I29/'AC (Chi phí thực tế)'!I29,2))</f>
        <v/>
      </c>
      <c r="J29" s="2" t="str">
        <f>IF('AC (Chi phí thực tế)'!J29=0,"",ROUND('EV (Hoàn thành thực tế)'!J29/'AC (Chi phí thực tế)'!J29,2))</f>
        <v/>
      </c>
      <c r="K29" s="2" t="str">
        <f>IF('AC (Chi phí thực tế)'!K29=0,"",ROUND('EV (Hoàn thành thực tế)'!K29/'AC (Chi phí thực tế)'!K29,2))</f>
        <v/>
      </c>
      <c r="L29" s="2" t="str">
        <f>IF('AC (Chi phí thực tế)'!L29=0,"",ROUND('EV (Hoàn thành thực tế)'!L29/'AC (Chi phí thực tế)'!L29,2))</f>
        <v/>
      </c>
      <c r="M29" s="2" t="str">
        <f>IF('AC (Chi phí thực tế)'!M29=0,"",ROUND('EV (Hoàn thành thực tế)'!M29/'AC (Chi phí thực tế)'!M29,2))</f>
        <v/>
      </c>
      <c r="N29" s="2" t="str">
        <f>IF('AC (Chi phí thực tế)'!N29=0,"",ROUND('EV (Hoàn thành thực tế)'!N29/'AC (Chi phí thực tế)'!N29,2))</f>
        <v/>
      </c>
      <c r="O29" s="2" t="str">
        <f>IF('AC (Chi phí thực tế)'!O29=0,"",ROUND('EV (Hoàn thành thực tế)'!O29/'AC (Chi phí thực tế)'!O29,2))</f>
        <v/>
      </c>
      <c r="P29" s="2" t="str">
        <f>IF('AC (Chi phí thực tế)'!P29=0,"",ROUND('EV (Hoàn thành thực tế)'!P29/'AC (Chi phí thực tế)'!P29,2))</f>
        <v/>
      </c>
      <c r="Q29" s="2" t="str">
        <f>IF('AC (Chi phí thực tế)'!Q29=0,"",ROUND('EV (Hoàn thành thực tế)'!Q29/'AC (Chi phí thực tế)'!Q29,2))</f>
        <v/>
      </c>
      <c r="R29" s="2" t="str">
        <f>IF('AC (Chi phí thực tế)'!R29=0,"",ROUND('EV (Hoàn thành thực tế)'!R29/'AC (Chi phí thực tế)'!R29,2))</f>
        <v/>
      </c>
      <c r="S29" s="2" t="str">
        <f>IF('AC (Chi phí thực tế)'!S29=0,"",ROUND('EV (Hoàn thành thực tế)'!S29/'AC (Chi phí thực tế)'!S29,2))</f>
        <v/>
      </c>
      <c r="T29" s="2" t="str">
        <f>IF('AC (Chi phí thực tế)'!T29=0,"",ROUND('EV (Hoàn thành thực tế)'!T29/'AC (Chi phí thực tế)'!T29,2))</f>
        <v/>
      </c>
      <c r="U29" s="2" t="str">
        <f>IF('AC (Chi phí thực tế)'!U29=0,"",ROUND('EV (Hoàn thành thực tế)'!U29/'AC (Chi phí thực tế)'!U29,2))</f>
        <v/>
      </c>
      <c r="V29" s="2" t="str">
        <f>IF('AC (Chi phí thực tế)'!V29=0,"",ROUND('EV (Hoàn thành thực tế)'!V29/'AC (Chi phí thực tế)'!V29,2))</f>
        <v/>
      </c>
      <c r="W29" s="2" t="str">
        <f>IF('AC (Chi phí thực tế)'!W29=0,"",ROUND('EV (Hoàn thành thực tế)'!W29/'AC (Chi phí thực tế)'!W29,2))</f>
        <v/>
      </c>
      <c r="X29" s="2" t="str">
        <f>IF('AC (Chi phí thực tế)'!X29=0,"",ROUND('EV (Hoàn thành thực tế)'!X29/'AC (Chi phí thực tế)'!X29,2))</f>
        <v/>
      </c>
      <c r="Y29" s="2" t="str">
        <f>IF('AC (Chi phí thực tế)'!Y29=0,"",ROUND('EV (Hoàn thành thực tế)'!Y29/'AC (Chi phí thực tế)'!Y29,2))</f>
        <v/>
      </c>
      <c r="Z29" s="2" t="str">
        <f>IF('AC (Chi phí thực tế)'!Z29=0,"",ROUND('EV (Hoàn thành thực tế)'!Z29/'AC (Chi phí thực tế)'!Z29,2))</f>
        <v/>
      </c>
      <c r="AA29" s="2" t="str">
        <f>IF('AC (Chi phí thực tế)'!AA29=0,"",ROUND('EV (Hoàn thành thực tế)'!AA29/'AC (Chi phí thực tế)'!AA29,2))</f>
        <v/>
      </c>
    </row>
    <row r="30" spans="2:27" ht="21.95" customHeight="1">
      <c r="B30" s="2">
        <v>28</v>
      </c>
      <c r="C30" s="3">
        <f>'PV (Kế hoạch)'!C30</f>
        <v>0</v>
      </c>
      <c r="D30" s="2" t="str">
        <f>IF('AC (Chi phí thực tế)'!D30=0,"",ROUND('EV (Hoàn thành thực tế)'!D30/'AC (Chi phí thực tế)'!D30,2))</f>
        <v/>
      </c>
      <c r="E30" s="2" t="str">
        <f>IF('AC (Chi phí thực tế)'!E30=0,"",ROUND('EV (Hoàn thành thực tế)'!E30/'AC (Chi phí thực tế)'!E30,2))</f>
        <v/>
      </c>
      <c r="F30" s="2" t="str">
        <f>IF('AC (Chi phí thực tế)'!F30=0,"",ROUND('EV (Hoàn thành thực tế)'!F30/'AC (Chi phí thực tế)'!F30,2))</f>
        <v/>
      </c>
      <c r="G30" s="2" t="str">
        <f>IF('AC (Chi phí thực tế)'!G30=0,"",ROUND('EV (Hoàn thành thực tế)'!G30/'AC (Chi phí thực tế)'!G30,2))</f>
        <v/>
      </c>
      <c r="H30" s="2" t="str">
        <f>IF('AC (Chi phí thực tế)'!H30=0,"",ROUND('EV (Hoàn thành thực tế)'!H30/'AC (Chi phí thực tế)'!H30,2))</f>
        <v/>
      </c>
      <c r="I30" s="2" t="str">
        <f>IF('AC (Chi phí thực tế)'!I30=0,"",ROUND('EV (Hoàn thành thực tế)'!I30/'AC (Chi phí thực tế)'!I30,2))</f>
        <v/>
      </c>
      <c r="J30" s="2" t="str">
        <f>IF('AC (Chi phí thực tế)'!J30=0,"",ROUND('EV (Hoàn thành thực tế)'!J30/'AC (Chi phí thực tế)'!J30,2))</f>
        <v/>
      </c>
      <c r="K30" s="2" t="str">
        <f>IF('AC (Chi phí thực tế)'!K30=0,"",ROUND('EV (Hoàn thành thực tế)'!K30/'AC (Chi phí thực tế)'!K30,2))</f>
        <v/>
      </c>
      <c r="L30" s="2" t="str">
        <f>IF('AC (Chi phí thực tế)'!L30=0,"",ROUND('EV (Hoàn thành thực tế)'!L30/'AC (Chi phí thực tế)'!L30,2))</f>
        <v/>
      </c>
      <c r="M30" s="2" t="str">
        <f>IF('AC (Chi phí thực tế)'!M30=0,"",ROUND('EV (Hoàn thành thực tế)'!M30/'AC (Chi phí thực tế)'!M30,2))</f>
        <v/>
      </c>
      <c r="N30" s="2" t="str">
        <f>IF('AC (Chi phí thực tế)'!N30=0,"",ROUND('EV (Hoàn thành thực tế)'!N30/'AC (Chi phí thực tế)'!N30,2))</f>
        <v/>
      </c>
      <c r="O30" s="2" t="str">
        <f>IF('AC (Chi phí thực tế)'!O30=0,"",ROUND('EV (Hoàn thành thực tế)'!O30/'AC (Chi phí thực tế)'!O30,2))</f>
        <v/>
      </c>
      <c r="P30" s="2" t="str">
        <f>IF('AC (Chi phí thực tế)'!P30=0,"",ROUND('EV (Hoàn thành thực tế)'!P30/'AC (Chi phí thực tế)'!P30,2))</f>
        <v/>
      </c>
      <c r="Q30" s="2" t="str">
        <f>IF('AC (Chi phí thực tế)'!Q30=0,"",ROUND('EV (Hoàn thành thực tế)'!Q30/'AC (Chi phí thực tế)'!Q30,2))</f>
        <v/>
      </c>
      <c r="R30" s="2" t="str">
        <f>IF('AC (Chi phí thực tế)'!R30=0,"",ROUND('EV (Hoàn thành thực tế)'!R30/'AC (Chi phí thực tế)'!R30,2))</f>
        <v/>
      </c>
      <c r="S30" s="2" t="str">
        <f>IF('AC (Chi phí thực tế)'!S30=0,"",ROUND('EV (Hoàn thành thực tế)'!S30/'AC (Chi phí thực tế)'!S30,2))</f>
        <v/>
      </c>
      <c r="T30" s="2" t="str">
        <f>IF('AC (Chi phí thực tế)'!T30=0,"",ROUND('EV (Hoàn thành thực tế)'!T30/'AC (Chi phí thực tế)'!T30,2))</f>
        <v/>
      </c>
      <c r="U30" s="2" t="str">
        <f>IF('AC (Chi phí thực tế)'!U30=0,"",ROUND('EV (Hoàn thành thực tế)'!U30/'AC (Chi phí thực tế)'!U30,2))</f>
        <v/>
      </c>
      <c r="V30" s="2" t="str">
        <f>IF('AC (Chi phí thực tế)'!V30=0,"",ROUND('EV (Hoàn thành thực tế)'!V30/'AC (Chi phí thực tế)'!V30,2))</f>
        <v/>
      </c>
      <c r="W30" s="2" t="str">
        <f>IF('AC (Chi phí thực tế)'!W30=0,"",ROUND('EV (Hoàn thành thực tế)'!W30/'AC (Chi phí thực tế)'!W30,2))</f>
        <v/>
      </c>
      <c r="X30" s="2" t="str">
        <f>IF('AC (Chi phí thực tế)'!X30=0,"",ROUND('EV (Hoàn thành thực tế)'!X30/'AC (Chi phí thực tế)'!X30,2))</f>
        <v/>
      </c>
      <c r="Y30" s="2" t="str">
        <f>IF('AC (Chi phí thực tế)'!Y30=0,"",ROUND('EV (Hoàn thành thực tế)'!Y30/'AC (Chi phí thực tế)'!Y30,2))</f>
        <v/>
      </c>
      <c r="Z30" s="2" t="str">
        <f>IF('AC (Chi phí thực tế)'!Z30=0,"",ROUND('EV (Hoàn thành thực tế)'!Z30/'AC (Chi phí thực tế)'!Z30,2))</f>
        <v/>
      </c>
      <c r="AA30" s="2" t="str">
        <f>IF('AC (Chi phí thực tế)'!AA30=0,"",ROUND('EV (Hoàn thành thực tế)'!AA30/'AC (Chi phí thực tế)'!AA30,2))</f>
        <v/>
      </c>
    </row>
    <row r="31" spans="2:27" ht="21.95" customHeight="1">
      <c r="B31" s="2">
        <v>29</v>
      </c>
      <c r="C31" s="3">
        <f>'PV (Kế hoạch)'!C31</f>
        <v>0</v>
      </c>
      <c r="D31" s="2" t="str">
        <f>IF('AC (Chi phí thực tế)'!D31=0,"",ROUND('EV (Hoàn thành thực tế)'!D31/'AC (Chi phí thực tế)'!D31,2))</f>
        <v/>
      </c>
      <c r="E31" s="2" t="str">
        <f>IF('AC (Chi phí thực tế)'!E31=0,"",ROUND('EV (Hoàn thành thực tế)'!E31/'AC (Chi phí thực tế)'!E31,2))</f>
        <v/>
      </c>
      <c r="F31" s="2" t="str">
        <f>IF('AC (Chi phí thực tế)'!F31=0,"",ROUND('EV (Hoàn thành thực tế)'!F31/'AC (Chi phí thực tế)'!F31,2))</f>
        <v/>
      </c>
      <c r="G31" s="2" t="str">
        <f>IF('AC (Chi phí thực tế)'!G31=0,"",ROUND('EV (Hoàn thành thực tế)'!G31/'AC (Chi phí thực tế)'!G31,2))</f>
        <v/>
      </c>
      <c r="H31" s="2" t="str">
        <f>IF('AC (Chi phí thực tế)'!H31=0,"",ROUND('EV (Hoàn thành thực tế)'!H31/'AC (Chi phí thực tế)'!H31,2))</f>
        <v/>
      </c>
      <c r="I31" s="2" t="str">
        <f>IF('AC (Chi phí thực tế)'!I31=0,"",ROUND('EV (Hoàn thành thực tế)'!I31/'AC (Chi phí thực tế)'!I31,2))</f>
        <v/>
      </c>
      <c r="J31" s="2" t="str">
        <f>IF('AC (Chi phí thực tế)'!J31=0,"",ROUND('EV (Hoàn thành thực tế)'!J31/'AC (Chi phí thực tế)'!J31,2))</f>
        <v/>
      </c>
      <c r="K31" s="2" t="str">
        <f>IF('AC (Chi phí thực tế)'!K31=0,"",ROUND('EV (Hoàn thành thực tế)'!K31/'AC (Chi phí thực tế)'!K31,2))</f>
        <v/>
      </c>
      <c r="L31" s="2" t="str">
        <f>IF('AC (Chi phí thực tế)'!L31=0,"",ROUND('EV (Hoàn thành thực tế)'!L31/'AC (Chi phí thực tế)'!L31,2))</f>
        <v/>
      </c>
      <c r="M31" s="2" t="str">
        <f>IF('AC (Chi phí thực tế)'!M31=0,"",ROUND('EV (Hoàn thành thực tế)'!M31/'AC (Chi phí thực tế)'!M31,2))</f>
        <v/>
      </c>
      <c r="N31" s="2" t="str">
        <f>IF('AC (Chi phí thực tế)'!N31=0,"",ROUND('EV (Hoàn thành thực tế)'!N31/'AC (Chi phí thực tế)'!N31,2))</f>
        <v/>
      </c>
      <c r="O31" s="2" t="str">
        <f>IF('AC (Chi phí thực tế)'!O31=0,"",ROUND('EV (Hoàn thành thực tế)'!O31/'AC (Chi phí thực tế)'!O31,2))</f>
        <v/>
      </c>
      <c r="P31" s="2" t="str">
        <f>IF('AC (Chi phí thực tế)'!P31=0,"",ROUND('EV (Hoàn thành thực tế)'!P31/'AC (Chi phí thực tế)'!P31,2))</f>
        <v/>
      </c>
      <c r="Q31" s="2" t="str">
        <f>IF('AC (Chi phí thực tế)'!Q31=0,"",ROUND('EV (Hoàn thành thực tế)'!Q31/'AC (Chi phí thực tế)'!Q31,2))</f>
        <v/>
      </c>
      <c r="R31" s="2" t="str">
        <f>IF('AC (Chi phí thực tế)'!R31=0,"",ROUND('EV (Hoàn thành thực tế)'!R31/'AC (Chi phí thực tế)'!R31,2))</f>
        <v/>
      </c>
      <c r="S31" s="2" t="str">
        <f>IF('AC (Chi phí thực tế)'!S31=0,"",ROUND('EV (Hoàn thành thực tế)'!S31/'AC (Chi phí thực tế)'!S31,2))</f>
        <v/>
      </c>
      <c r="T31" s="2" t="str">
        <f>IF('AC (Chi phí thực tế)'!T31=0,"",ROUND('EV (Hoàn thành thực tế)'!T31/'AC (Chi phí thực tế)'!T31,2))</f>
        <v/>
      </c>
      <c r="U31" s="2" t="str">
        <f>IF('AC (Chi phí thực tế)'!U31=0,"",ROUND('EV (Hoàn thành thực tế)'!U31/'AC (Chi phí thực tế)'!U31,2))</f>
        <v/>
      </c>
      <c r="V31" s="2" t="str">
        <f>IF('AC (Chi phí thực tế)'!V31=0,"",ROUND('EV (Hoàn thành thực tế)'!V31/'AC (Chi phí thực tế)'!V31,2))</f>
        <v/>
      </c>
      <c r="W31" s="2" t="str">
        <f>IF('AC (Chi phí thực tế)'!W31=0,"",ROUND('EV (Hoàn thành thực tế)'!W31/'AC (Chi phí thực tế)'!W31,2))</f>
        <v/>
      </c>
      <c r="X31" s="2" t="str">
        <f>IF('AC (Chi phí thực tế)'!X31=0,"",ROUND('EV (Hoàn thành thực tế)'!X31/'AC (Chi phí thực tế)'!X31,2))</f>
        <v/>
      </c>
      <c r="Y31" s="2" t="str">
        <f>IF('AC (Chi phí thực tế)'!Y31=0,"",ROUND('EV (Hoàn thành thực tế)'!Y31/'AC (Chi phí thực tế)'!Y31,2))</f>
        <v/>
      </c>
      <c r="Z31" s="2" t="str">
        <f>IF('AC (Chi phí thực tế)'!Z31=0,"",ROUND('EV (Hoàn thành thực tế)'!Z31/'AC (Chi phí thực tế)'!Z31,2))</f>
        <v/>
      </c>
      <c r="AA31" s="2" t="str">
        <f>IF('AC (Chi phí thực tế)'!AA31=0,"",ROUND('EV (Hoàn thành thực tế)'!AA31/'AC (Chi phí thực tế)'!AA31,2))</f>
        <v/>
      </c>
    </row>
    <row r="32" spans="2:27" ht="21.95" customHeight="1">
      <c r="B32" s="2">
        <v>30</v>
      </c>
      <c r="C32" s="3" t="str">
        <f>'PV (Kế hoạch)'!C32</f>
        <v>Không chèn thêm dòng vào dưới dòng này</v>
      </c>
      <c r="D32" s="2" t="str">
        <f>IF('AC (Chi phí thực tế)'!D32=0,"",ROUND('EV (Hoàn thành thực tế)'!D32/'AC (Chi phí thực tế)'!D32,2))</f>
        <v/>
      </c>
      <c r="E32" s="2" t="str">
        <f>IF('AC (Chi phí thực tế)'!E32=0,"",ROUND('EV (Hoàn thành thực tế)'!E32/'AC (Chi phí thực tế)'!E32,2))</f>
        <v/>
      </c>
      <c r="F32" s="2" t="str">
        <f>IF('AC (Chi phí thực tế)'!F32=0,"",ROUND('EV (Hoàn thành thực tế)'!F32/'AC (Chi phí thực tế)'!F32,2))</f>
        <v/>
      </c>
      <c r="G32" s="2" t="str">
        <f>IF('AC (Chi phí thực tế)'!G32=0,"",ROUND('EV (Hoàn thành thực tế)'!G32/'AC (Chi phí thực tế)'!G32,2))</f>
        <v/>
      </c>
      <c r="H32" s="2" t="str">
        <f>IF('AC (Chi phí thực tế)'!H32=0,"",ROUND('EV (Hoàn thành thực tế)'!H32/'AC (Chi phí thực tế)'!H32,2))</f>
        <v/>
      </c>
      <c r="I32" s="2" t="str">
        <f>IF('AC (Chi phí thực tế)'!I32=0,"",ROUND('EV (Hoàn thành thực tế)'!I32/'AC (Chi phí thực tế)'!I32,2))</f>
        <v/>
      </c>
      <c r="J32" s="2" t="str">
        <f>IF('AC (Chi phí thực tế)'!J32=0,"",ROUND('EV (Hoàn thành thực tế)'!J32/'AC (Chi phí thực tế)'!J32,2))</f>
        <v/>
      </c>
      <c r="K32" s="2" t="str">
        <f>IF('AC (Chi phí thực tế)'!K32=0,"",ROUND('EV (Hoàn thành thực tế)'!K32/'AC (Chi phí thực tế)'!K32,2))</f>
        <v/>
      </c>
      <c r="L32" s="2" t="str">
        <f>IF('AC (Chi phí thực tế)'!L32=0,"",ROUND('EV (Hoàn thành thực tế)'!L32/'AC (Chi phí thực tế)'!L32,2))</f>
        <v/>
      </c>
      <c r="M32" s="2" t="str">
        <f>IF('AC (Chi phí thực tế)'!M32=0,"",ROUND('EV (Hoàn thành thực tế)'!M32/'AC (Chi phí thực tế)'!M32,2))</f>
        <v/>
      </c>
      <c r="N32" s="2" t="str">
        <f>IF('AC (Chi phí thực tế)'!N32=0,"",ROUND('EV (Hoàn thành thực tế)'!N32/'AC (Chi phí thực tế)'!N32,2))</f>
        <v/>
      </c>
      <c r="O32" s="2" t="str">
        <f>IF('AC (Chi phí thực tế)'!O32=0,"",ROUND('EV (Hoàn thành thực tế)'!O32/'AC (Chi phí thực tế)'!O32,2))</f>
        <v/>
      </c>
      <c r="P32" s="2" t="str">
        <f>IF('AC (Chi phí thực tế)'!P32=0,"",ROUND('EV (Hoàn thành thực tế)'!P32/'AC (Chi phí thực tế)'!P32,2))</f>
        <v/>
      </c>
      <c r="Q32" s="2" t="str">
        <f>IF('AC (Chi phí thực tế)'!Q32=0,"",ROUND('EV (Hoàn thành thực tế)'!Q32/'AC (Chi phí thực tế)'!Q32,2))</f>
        <v/>
      </c>
      <c r="R32" s="2" t="str">
        <f>IF('AC (Chi phí thực tế)'!R32=0,"",ROUND('EV (Hoàn thành thực tế)'!R32/'AC (Chi phí thực tế)'!R32,2))</f>
        <v/>
      </c>
      <c r="S32" s="2" t="str">
        <f>IF('AC (Chi phí thực tế)'!S32=0,"",ROUND('EV (Hoàn thành thực tế)'!S32/'AC (Chi phí thực tế)'!S32,2))</f>
        <v/>
      </c>
      <c r="T32" s="2" t="str">
        <f>IF('AC (Chi phí thực tế)'!T32=0,"",ROUND('EV (Hoàn thành thực tế)'!T32/'AC (Chi phí thực tế)'!T32,2))</f>
        <v/>
      </c>
      <c r="U32" s="2" t="str">
        <f>IF('AC (Chi phí thực tế)'!U32=0,"",ROUND('EV (Hoàn thành thực tế)'!U32/'AC (Chi phí thực tế)'!U32,2))</f>
        <v/>
      </c>
      <c r="V32" s="2" t="str">
        <f>IF('AC (Chi phí thực tế)'!V32=0,"",ROUND('EV (Hoàn thành thực tế)'!V32/'AC (Chi phí thực tế)'!V32,2))</f>
        <v/>
      </c>
      <c r="W32" s="2" t="str">
        <f>IF('AC (Chi phí thực tế)'!W32=0,"",ROUND('EV (Hoàn thành thực tế)'!W32/'AC (Chi phí thực tế)'!W32,2))</f>
        <v/>
      </c>
      <c r="X32" s="2" t="str">
        <f>IF('AC (Chi phí thực tế)'!X32=0,"",ROUND('EV (Hoàn thành thực tế)'!X32/'AC (Chi phí thực tế)'!X32,2))</f>
        <v/>
      </c>
      <c r="Y32" s="2" t="str">
        <f>IF('AC (Chi phí thực tế)'!Y32=0,"",ROUND('EV (Hoàn thành thực tế)'!Y32/'AC (Chi phí thực tế)'!Y32,2))</f>
        <v/>
      </c>
      <c r="Z32" s="2" t="str">
        <f>IF('AC (Chi phí thực tế)'!Z32=0,"",ROUND('EV (Hoàn thành thực tế)'!Z32/'AC (Chi phí thực tế)'!Z32,2))</f>
        <v/>
      </c>
      <c r="AA32" s="2" t="str">
        <f>IF('AC (Chi phí thực tế)'!AA32=0,"",ROUND('EV (Hoàn thành thực tế)'!AA32/'AC (Chi phí thực tế)'!AA32,2))</f>
        <v/>
      </c>
    </row>
    <row r="33" spans="2:27" ht="21.95" customHeight="1">
      <c r="B33" s="4"/>
      <c r="C33" s="6" t="s">
        <v>134</v>
      </c>
      <c r="D33" s="7">
        <f t="shared" ref="D33:AA33" si="0">IF(COUNT(D3:D32)=0,"",ROUND(AVERAGE(D3:D32),2))</f>
        <v>0.99</v>
      </c>
      <c r="E33" s="7">
        <f t="shared" si="0"/>
        <v>0.85</v>
      </c>
      <c r="F33" s="7">
        <f t="shared" si="0"/>
        <v>0.88</v>
      </c>
      <c r="G33" s="7">
        <f t="shared" si="0"/>
        <v>0.83</v>
      </c>
      <c r="H33" s="7">
        <f t="shared" si="0"/>
        <v>0.87</v>
      </c>
      <c r="I33" s="7">
        <f t="shared" si="0"/>
        <v>0.79</v>
      </c>
      <c r="J33" s="7">
        <f t="shared" si="0"/>
        <v>0.78</v>
      </c>
      <c r="K33" s="7">
        <f t="shared" si="0"/>
        <v>0.95</v>
      </c>
      <c r="L33" s="7">
        <f t="shared" si="0"/>
        <v>0.89</v>
      </c>
      <c r="M33" s="7">
        <f t="shared" si="0"/>
        <v>0.91</v>
      </c>
      <c r="N33" s="7">
        <f t="shared" si="0"/>
        <v>0.91</v>
      </c>
      <c r="O33" s="7">
        <f t="shared" si="0"/>
        <v>0.87</v>
      </c>
      <c r="P33" s="7">
        <f t="shared" si="0"/>
        <v>0.92</v>
      </c>
      <c r="Q33" s="7">
        <f t="shared" si="0"/>
        <v>0.64</v>
      </c>
      <c r="R33" s="7">
        <f t="shared" si="0"/>
        <v>0.86</v>
      </c>
      <c r="S33" s="7">
        <f t="shared" si="0"/>
        <v>0.5</v>
      </c>
      <c r="T33" s="7">
        <f t="shared" si="0"/>
        <v>0.75</v>
      </c>
      <c r="U33" s="7" t="str">
        <f t="shared" si="0"/>
        <v/>
      </c>
      <c r="V33" s="7" t="str">
        <f t="shared" si="0"/>
        <v/>
      </c>
      <c r="W33" s="7" t="str">
        <f t="shared" si="0"/>
        <v/>
      </c>
      <c r="X33" s="7" t="str">
        <f t="shared" si="0"/>
        <v/>
      </c>
      <c r="Y33" s="7" t="str">
        <f t="shared" si="0"/>
        <v/>
      </c>
      <c r="Z33" s="7" t="str">
        <f t="shared" si="0"/>
        <v/>
      </c>
      <c r="AA33" s="7" t="str">
        <f t="shared" si="0"/>
        <v/>
      </c>
    </row>
    <row r="34" spans="2:27" ht="21.95" customHeight="1"/>
    <row r="35" spans="2:27" ht="21.95" customHeight="1"/>
    <row r="36" spans="2:27" ht="21.95" customHeight="1"/>
    <row r="37" spans="2:27" ht="21.95" customHeight="1"/>
    <row r="38" spans="2:27" ht="21.95" customHeight="1"/>
    <row r="39" spans="2:27" ht="21.95" customHeight="1"/>
  </sheetData>
  <mergeCells count="1">
    <mergeCell ref="B1:AA1"/>
  </mergeCells>
  <conditionalFormatting sqref="D3:AA33">
    <cfRule type="cellIs" dxfId="1" priority="1" operator="greaterThanOrEqual">
      <formula>1</formula>
    </cfRule>
    <cfRule type="expression" dxfId="0" priority="2">
      <formula>AND(D3&lt;1,D3&lt;&gt;"")</formula>
    </cfRule>
  </conditionalFormatting>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247A6BA5C3A674B8381CCE5A119DD00" ma:contentTypeVersion="4" ma:contentTypeDescription="Create a new document." ma:contentTypeScope="" ma:versionID="f0443735eb18475d37a86e837970cf4d">
  <xsd:schema xmlns:xsd="http://www.w3.org/2001/XMLSchema" xmlns:xs="http://www.w3.org/2001/XMLSchema" xmlns:p="http://schemas.microsoft.com/office/2006/metadata/properties" xmlns:ns2="afc87fa5-9208-4008-8235-1406a53ecfd6" targetNamespace="http://schemas.microsoft.com/office/2006/metadata/properties" ma:root="true" ma:fieldsID="c95ee9e49c8fc7770001789d5762359f" ns2:_="">
    <xsd:import namespace="afc87fa5-9208-4008-8235-1406a53ecfd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c87fa5-9208-4008-8235-1406a53ecf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755E554-329D-436C-9D0B-933A60983023}"/>
</file>

<file path=customXml/itemProps2.xml><?xml version="1.0" encoding="utf-8"?>
<ds:datastoreItem xmlns:ds="http://schemas.openxmlformats.org/officeDocument/2006/customXml" ds:itemID="{A764CCC4-318D-4179-9F5A-0F6BA1F95F05}"/>
</file>

<file path=customXml/itemProps3.xml><?xml version="1.0" encoding="utf-8"?>
<ds:datastoreItem xmlns:ds="http://schemas.openxmlformats.org/officeDocument/2006/customXml" ds:itemID="{3279911C-D8D4-48F2-A3E9-E2AD8D63AF9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Nguyen Thi Lanh</cp:lastModifiedBy>
  <cp:revision/>
  <dcterms:created xsi:type="dcterms:W3CDTF">2026-02-09T04:51:15Z</dcterms:created>
  <dcterms:modified xsi:type="dcterms:W3CDTF">2026-04-07T09:33:15Z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0x0101007247A6BA5C3A674B8381CCE5A119DD00</vt:lpwstr>
  </property>
</Properties>
</file>